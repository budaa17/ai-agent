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ea358eadf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a821e8feda7455f"/>
    <x:sheet xmlns:r="http://schemas.openxmlformats.org/officeDocument/2006/relationships" name="Lists" sheetId="2" r:id="Re0cbd094ec334446"/>
    <x:sheet xmlns:r="http://schemas.openxmlformats.org/officeDocument/2006/relationships" name="Work_Plan" sheetId="3" r:id="R7594e41fba5c40ef"/>
    <x:sheet xmlns:r="http://schemas.openxmlformats.org/officeDocument/2006/relationships" name="Daily_Reports" sheetId="4" r:id="R06b21817649941b9"/>
    <x:sheet xmlns:r="http://schemas.openxmlformats.org/officeDocument/2006/relationships" name="Attendance" sheetId="5" r:id="R4d5555739a9d442e"/>
    <x:sheet xmlns:r="http://schemas.openxmlformats.org/officeDocument/2006/relationships" name="Materials" sheetId="6" r:id="R4c4fd8cd22504cac"/>
    <x:sheet xmlns:r="http://schemas.openxmlformats.org/officeDocument/2006/relationships" name="Costs" sheetId="7" r:id="Rd7cfd1a2bb5443e2"/>
    <x:sheet xmlns:r="http://schemas.openxmlformats.org/officeDocument/2006/relationships" name="Dashboard" sheetId="8" r:id="Rf84f859473374540"/>
    <x:sheet xmlns:r="http://schemas.openxmlformats.org/officeDocument/2006/relationships" name="Data_Dictionary" sheetId="9" r:id="R9b15132fa7b9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%"/>
    <x:numFmt numFmtId="203" formatCode="0&quot;%&quot;"/>
    <x:numFmt numFmtId="204" formatCode="#,##0"/>
    <x:numFmt numFmtId="205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18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14" xfId="0" applyNumberFormat="1" applyFont="1" applyFill="1" applyBorder="1"/>
    <x:xf numFmtId="201" fontId="0" fillId="0" borderId="14" xfId="0" applyNumberFormat="1" applyFont="1" applyFill="1" applyBorder="1"/>
    <x:xf numFmtId="203" fontId="0" fillId="0" borderId="14" xfId="0" applyNumberFormat="1" applyFont="1" applyFill="1" applyBorder="1"/>
    <x:xf numFmtId="204" fontId="0" fillId="0" borderId="14" xfId="0" applyNumberFormat="1" applyFont="1" applyFill="1" applyBorder="1"/>
    <x:xf numFmtId="204" fontId="0" fillId="0" borderId="3" xfId="0" applyNumberFormat="1" applyFont="1" applyFill="1" applyBorder="1"/>
    <x:xf numFmtId="204" fontId="0" fillId="0" borderId="5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203" fontId="0" fillId="0" borderId="15" xfId="0" applyNumberFormat="1" applyFont="1" applyFill="1" applyBorder="1"/>
    <x:xf numFmtId="204" fontId="0" fillId="0" borderId="15" xfId="0" applyNumberFormat="1" applyFont="1" applyFill="1" applyBorder="1"/>
    <x:xf numFmtId="204" fontId="0" fillId="0" borderId="7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203" fontId="0" fillId="0" borderId="16" xfId="0" applyNumberFormat="1" applyFont="1" applyFill="1" applyBorder="1"/>
    <x:xf numFmtId="204" fontId="0" fillId="0" borderId="16" xfId="0" applyNumberFormat="1" applyFont="1" applyFill="1" applyBorder="1"/>
    <x:xf numFmtId="204" fontId="0" fillId="0" borderId="9" xfId="0" applyNumberFormat="1" applyFont="1" applyFill="1" applyBorder="1"/>
    <x:xf numFmtId="204" fontId="0" fillId="0" borderId="11" xfId="0" applyNumberFormat="1" applyFont="1" applyFill="1" applyBorder="1"/>
    <x:xf numFmtId="200" fontId="0" fillId="0" borderId="17" xfId="0" applyNumberFormat="1" applyFont="1" applyFill="1" applyBorder="1"/>
    <x:xf numFmtId="201" fontId="0" fillId="0" borderId="17" xfId="0" applyNumberFormat="1" applyFont="1" applyFill="1" applyBorder="1"/>
    <x:xf numFmtId="203" fontId="0" fillId="0" borderId="17" xfId="0" applyNumberFormat="1" applyFont="1" applyFill="1" applyBorder="1"/>
    <x:xf numFmtId="204" fontId="0" fillId="0" borderId="17" xfId="0" applyNumberFormat="1" applyFont="1" applyFill="1" applyBorder="1"/>
    <x:xf numFmtId="204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204" fontId="0" fillId="0" borderId="14" xfId="0" applyNumberFormat="1" applyFont="1" applyFill="1" applyBorder="1" applyAlignment="1">
      <x:alignment wrapText="1"/>
    </x:xf>
    <x:xf numFmtId="204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4" fontId="0" fillId="0" borderId="15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204" fontId="0" fillId="0" borderId="17" xfId="0" applyNumberFormat="1" applyFont="1" applyFill="1" applyBorder="1" applyAlignment="1">
      <x:alignment wrapText="1"/>
    </x:xf>
    <x:xf numFmtId="204" fontId="0" fillId="0" borderId="13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14" xfId="0" applyNumberFormat="1" applyFont="1" applyFill="1" applyBorder="1"/>
    <x:xf numFmtId="205" fontId="0" fillId="0" borderId="15" xfId="0" applyNumberFormat="1" applyFont="1" applyFill="1" applyBorder="1"/>
    <x:xf numFmtId="205" fontId="0" fillId="0" borderId="16" xfId="0" applyNumberFormat="1" applyFont="1" applyFill="1" applyBorder="1"/>
    <x:xf numFmtId="205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left" vertical="center"/>
    </x:xf>
    <x:xf numFmtId="203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horizontal="left" vertical="center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left" vertical="center"/>
    </x:xf>
    <x:xf numFmtId="203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horizontal="left"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7b2d83fa14f37" /><Relationship Type="http://schemas.openxmlformats.org/officeDocument/2006/relationships/theme" Target="/xl/theme/theme1.xml" Id="R80f4946937034385" /><Relationship Type="http://schemas.openxmlformats.org/officeDocument/2006/relationships/sharedStrings" Target="/xl/sharedStrings.xml" Id="Rb7d31d154392408f" /><Relationship Type="http://schemas.openxmlformats.org/officeDocument/2006/relationships/worksheet" Target="/xl/worksheets/sheet1.xml" Id="R0a821e8feda7455f" /><Relationship Type="http://schemas.openxmlformats.org/officeDocument/2006/relationships/worksheet" Target="/xl/worksheets/sheet2.xml" Id="Re0cbd094ec334446" /><Relationship Type="http://schemas.openxmlformats.org/officeDocument/2006/relationships/worksheet" Target="/xl/worksheets/sheet3.xml" Id="R7594e41fba5c40ef" /><Relationship Type="http://schemas.openxmlformats.org/officeDocument/2006/relationships/worksheet" Target="/xl/worksheets/sheet4.xml" Id="R06b21817649941b9" /><Relationship Type="http://schemas.openxmlformats.org/officeDocument/2006/relationships/worksheet" Target="/xl/worksheets/sheet5.xml" Id="R4d5555739a9d442e" /><Relationship Type="http://schemas.openxmlformats.org/officeDocument/2006/relationships/worksheet" Target="/xl/worksheets/sheet6.xml" Id="R4c4fd8cd22504cac" /><Relationship Type="http://schemas.openxmlformats.org/officeDocument/2006/relationships/worksheet" Target="/xl/worksheets/sheet7.xml" Id="Rd7cfd1a2bb5443e2" /><Relationship Type="http://schemas.openxmlformats.org/officeDocument/2006/relationships/worksheet" Target="/xl/worksheets/sheet8.xml" Id="Rf84f859473374540" /><Relationship Type="http://schemas.openxmlformats.org/officeDocument/2006/relationships/worksheet" Target="/xl/worksheets/sheet9.xml" Id="R9b15132fa7b94a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aeb545b084458d" /><Relationship Type="http://schemas.openxmlformats.org/officeDocument/2006/relationships/chart" Target="/xl/drawings/charts/chart2.xml" Id="R686b633e8bb247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vs Actual by Discipline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 Budget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aeb545b084458d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b633e8bb247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PlanTable" displayName="WorkPlanTable" ref="A3:N23" headerRowCount="1">
  <x:tableColumns count="14">
    <x:tableColumn id="1" name="Work_Code"/>
    <x:tableColumn id="2" name="Work_Name"/>
    <x:tableColumn id="3" name="Discipline"/>
    <x:tableColumn id="4" name="Planned_Start"/>
    <x:tableColumn id="5" name="Planned_End"/>
    <x:tableColumn id="6" name="Duration_Days"/>
    <x:tableColumn id="7" name="Dependency"/>
    <x:tableColumn id="8" name="Planned_Qty"/>
    <x:tableColumn id="9" name="Unit"/>
    <x:tableColumn id="10" name="Progress_Pct"/>
    <x:tableColumn id="11" name="Status"/>
    <x:tableColumn id="12" name="Budget_Adjusted"/>
    <x:tableColumn id="13" name="Actual_Cost"/>
    <x:tableColumn id="14" name="Variance"/>
  </x:tableColumns>
  <x:tableStyleInfo name="TableStyleMedium2" showRowStripes="1"/>
</x:table>
</file>

<file path=xl/tables/table2.xml><?xml version="1.0" encoding="utf-8"?>
<x:table xmlns:x="http://schemas.openxmlformats.org/spreadsheetml/2006/main" id="2" name="DailyReportsTable" displayName="DailyReportsTable" ref="A3:L79" headerRowCount="1">
  <x:tableColumns count="12">
    <x:tableColumn id="1" name="Report_ID"/>
    <x:tableColumn id="2" name="Date"/>
    <x:tableColumn id="3" name="Work_Code"/>
    <x:tableColumn id="4" name="Crew_Count"/>
    <x:tableColumn id="5" name="Hours_Worked"/>
    <x:tableColumn id="6" name="Qty_Completed"/>
    <x:tableColumn id="7" name="Unit"/>
    <x:tableColumn id="8" name="Daily_Status"/>
    <x:tableColumn id="9" name="Issue_Code"/>
    <x:tableColumn id="10" name="Safety_Incident"/>
    <x:tableColumn id="11" name="Progress_Note"/>
    <x:tableColumn id="12" name="Weather"/>
  </x:tableColumns>
  <x:tableStyleInfo name="TableStyleMedium2" showRowStripes="1"/>
</x:table>
</file>

<file path=xl/tables/table3.xml><?xml version="1.0" encoding="utf-8"?>
<x:table xmlns:x="http://schemas.openxmlformats.org/spreadsheetml/2006/main" id="3" name="AttendanceTable" displayName="AttendanceTable" ref="A3:H339" headerRowCount="1">
  <x:tableColumns count="8">
    <x:tableColumn id="1" name="Attendance_ID"/>
    <x:tableColumn id="2" name="Date"/>
    <x:tableColumn id="3" name="Employee_Code"/>
    <x:tableColumn id="4" name="Role_Code"/>
    <x:tableColumn id="5" name="Shift"/>
    <x:tableColumn id="6" name="Regular_Hours"/>
    <x:tableColumn id="7" name="Overtime_Hours"/>
    <x:tableColumn id="8" name="Work_Code"/>
  </x:tableColumns>
  <x:tableStyleInfo name="TableStyleMedium2" showRowStripes="1"/>
</x:table>
</file>

<file path=xl/tables/table4.xml><?xml version="1.0" encoding="utf-8"?>
<x:table xmlns:x="http://schemas.openxmlformats.org/spreadsheetml/2006/main" id="4" name="MaterialsTable" displayName="MaterialsTable" ref="A3:K39" headerRowCount="1">
  <x:tableColumns count="11">
    <x:tableColumn id="1" name="Material_Txn_ID"/>
    <x:tableColumn id="2" name="Date"/>
    <x:tableColumn id="3" name="Work_Code"/>
    <x:tableColumn id="4" name="Material_Code"/>
    <x:tableColumn id="5" name="Category"/>
    <x:tableColumn id="6" name="Description"/>
    <x:tableColumn id="7" name="Qty"/>
    <x:tableColumn id="8" name="Unit"/>
    <x:tableColumn id="9" name="Unit_Cost_Adjusted"/>
    <x:tableColumn id="10" name="Total_Cost"/>
    <x:tableColumn id="11" name="Vendor_Code"/>
  </x:tableColumns>
  <x:tableStyleInfo name="TableStyleMedium2" showRowStripes="1"/>
</x:table>
</file>

<file path=xl/tables/table5.xml><?xml version="1.0" encoding="utf-8"?>
<x:table xmlns:x="http://schemas.openxmlformats.org/spreadsheetml/2006/main" id="5" name="CostsTable" displayName="CostsTable" ref="A3:J74" headerRowCount="1">
  <x:tableColumns count="10">
    <x:tableColumn id="1" name="Cost_ID"/>
    <x:tableColumn id="2" name="Date"/>
    <x:tableColumn id="3" name="Work_Code"/>
    <x:tableColumn id="4" name="Category"/>
    <x:tableColumn id="5" name="Description"/>
    <x:tableColumn id="6" name="Qty"/>
    <x:tableColumn id="7" name="Unit"/>
    <x:tableColumn id="8" name="Unit_Price_Adjusted"/>
    <x:tableColumn id="9" name="Total_Cost"/>
    <x:tableColumn id="10" name="Reference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724dc70e593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63c352bcce04d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6e89b48238f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e42d868848b4d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5bc00bf46ed41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458ea294aff40f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 ht="28" customHeight="1">
      <x:c r="A1" s="5" t="str">
        <x:v>ANONYMIZED PROJECT SAMPLE</x:v>
      </x:c>
      <x:c r="B1" s="5"/>
      <x:c r="C1" s="5"/>
      <x:c r="D1" s="5"/>
      <x:c r="E1" s="5"/>
      <x:c r="F1" s="5"/>
      <x:c r="G1" s="5"/>
      <x:c r="H1" s="5"/>
    </x:row>
    <x:row r="2">
      <x:c r="A2" s="143"/>
    </x:row>
    <x:row r="3">
      <x:c r="A3" s="14" t="str">
        <x:v>Талбар</x:v>
      </x:c>
      <x:c r="B3" s="14" t="str">
        <x:v>Утга</x:v>
      </x:c>
    </x:row>
    <x:row r="4">
      <x:c r="A4" s="144" t="str">
        <x:v>Төслийн нэр</x:v>
      </x:c>
      <x:c r="B4" s="33" t="str">
        <x:v>Оффисын 3-р давхрын дотор засал, инженерийн шинэчлэл</x:v>
      </x:c>
    </x:row>
    <x:row r="5">
      <x:c r="A5" s="145" t="str">
        <x:v>Төслийн код</x:v>
      </x:c>
      <x:c r="B5" s="35" t="str">
        <x:v>PRJ-INT-026</x:v>
      </x:c>
    </x:row>
    <x:row r="6">
      <x:c r="A6" s="145" t="str">
        <x:v>Өгөгдлийн төрөл</x:v>
      </x:c>
      <x:c r="B6" s="35" t="str">
        <x:v>Сургалт/дипломын ажилд зориулсан бодит мэт зохиомол, бүрэн anonymized sample</x:v>
      </x:c>
    </x:row>
    <x:row r="7">
      <x:c r="A7" s="145" t="str">
        <x:v>Захиалагч</x:v>
      </x:c>
      <x:c r="B7" s="35" t="str">
        <x:v>CLI-001</x:v>
      </x:c>
    </x:row>
    <x:row r="8">
      <x:c r="A8" s="145" t="str">
        <x:v>Гүйцэтгэгч</x:v>
      </x:c>
      <x:c r="B8" s="35" t="str">
        <x:v>ORG-001</x:v>
      </x:c>
    </x:row>
    <x:row r="9">
      <x:c r="A9" s="145" t="str">
        <x:v>Ерөнхий байршил</x:v>
      </x:c>
      <x:c r="B9" s="35" t="str">
        <x:v>Нийслэлийн төвийн бүс (яг хаяг оруулаагүй)</x:v>
      </x:c>
    </x:row>
    <x:row r="10">
      <x:c r="A10" s="145" t="str">
        <x:v>Огнооны шилжилт</x:v>
      </x:c>
      <x:c r="B10" s="35" t="str">
        <x:v>Бүх огноо ижил +37 хоногоор шилжүүлсэн гэж үзнэ</x:v>
      </x:c>
    </x:row>
    <x:row r="11">
      <x:c r="A11" s="145" t="str">
        <x:v>Мөнгөн дүнгийн өөрчлөлт</x:v>
      </x:c>
      <x:c r="B11" s="35" t="str">
        <x:v>Бүх мөнгөн дүнг ижил ×1.12 коэффициентоор өөрчилсөн гэж үзнэ</x:v>
      </x:c>
    </x:row>
    <x:row r="12">
      <x:c r="A12" s="145" t="str">
        <x:v>Нууцалсан мэдээлэл</x:v>
      </x:c>
      <x:c r="B12" s="35" t="str">
        <x:v>Компанийн нэр, хүний нэр, харилцагч, утас, имэйл, регистр, гэрээний дугаар, яг байршил, банк, гарын үсэг</x:v>
      </x:c>
    </x:row>
    <x:row r="13">
      <x:c r="A13" s="145" t="str">
        <x:v>Оруулаагүй мэдээлэл</x:v>
      </x:c>
      <x:c r="B13" s="35" t="str">
        <x:v>API key, password, token, credential болон аливаа нууц түлхүүр</x:v>
      </x:c>
    </x:row>
    <x:row r="14">
      <x:c r="A14" s="146" t="str">
        <x:v>Харилцан хамаарал</x:v>
      </x:c>
      <x:c r="B14" s="37" t="str">
        <x:v>Work_Code, огноо, dependency, employee/material/vendor code-оор sheet-үүд хоорондоо холбогдоно</x:v>
      </x:c>
    </x:row>
    <x:row r="15">
      <x:c r="A15" s="143"/>
    </x:row>
    <x:row r="16">
      <x:c r="A16" s="143"/>
    </x:row>
    <x:row r="17">
      <x:c r="A17" s="143"/>
    </x:row>
    <x:row r="18">
      <x:c r="A18" s="143"/>
    </x:row>
    <x:row r="19">
      <x:c r="A19" s="143"/>
    </x:row>
    <x:row r="20">
      <x:c r="A20" s="143"/>
    </x:row>
    <x:row r="21">
      <x:c r="A21" s="143"/>
    </x:row>
    <x:row r="22">
      <x:c r="A22" s="143"/>
    </x:row>
    <x:row r="23">
      <x:c r="A23" s="143"/>
    </x:row>
    <x:row r="24">
      <x:c r="A24" s="143"/>
    </x:row>
    <x:row r="25">
      <x:c r="A25" s="143"/>
    </x:row>
    <x:row r="26">
      <x:c r="A26" s="143"/>
    </x:row>
    <x:row r="27">
      <x:c r="A27" s="143"/>
    </x:row>
    <x:row r="28">
      <x:c r="A28" s="143"/>
    </x:row>
    <x:row r="29">
      <x:c r="A29" s="143"/>
    </x:row>
    <x:row r="30">
      <x:c r="A30" s="143"/>
    </x:row>
    <x:row r="31">
      <x:c r="A31" s="143"/>
    </x:row>
    <x:row r="32">
      <x:c r="A32" s="143"/>
    </x:row>
    <x:row r="33">
      <x:c r="A33" s="143"/>
    </x:row>
    <x:row r="34">
      <x:c r="A34" s="143"/>
    </x:row>
    <x:row r="35">
      <x:c r="A35" s="143"/>
    </x:row>
    <x:row r="36">
      <x:c r="A36" s="143"/>
    </x:row>
    <x:row r="37">
      <x:c r="A37" s="143"/>
    </x:row>
    <x:row r="38">
      <x:c r="A38" s="143"/>
    </x:row>
    <x:row r="39">
      <x:c r="A39" s="143"/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Status</x:v>
      </x:c>
      <x:c r="B1" s="14" t="str">
        <x:v>Unit</x:v>
      </x:c>
      <x:c r="C1" s="14" t="str">
        <x:v>Role</x:v>
      </x:c>
      <x:c r="D1" s="14" t="str">
        <x:v>Cost_Category</x:v>
      </x:c>
      <x:c r="E1" s="14" t="str">
        <x:v>Material_Category</x:v>
      </x:c>
      <x:c r="F1" s="14" t="str">
        <x:v>Daily_Status</x:v>
      </x:c>
    </x:row>
    <x:row r="2">
      <x:c r="A2" s="151" t="str">
        <x:v>Not Started</x:v>
      </x:c>
      <x:c r="B2" s="44" t="str">
        <x:v>m2</x:v>
      </x:c>
      <x:c r="C2" s="44" t="str">
        <x:v>SITE-MGR</x:v>
      </x:c>
      <x:c r="D2" s="44" t="str">
        <x:v>Labor</x:v>
      </x:c>
      <x:c r="E2" s="44" t="str">
        <x:v>Gypsum</x:v>
      </x:c>
      <x:c r="F2" s="21" t="str">
        <x:v>Normal</x:v>
      </x:c>
    </x:row>
    <x:row r="3">
      <x:c r="A3" s="152" t="str">
        <x:v>In Progress</x:v>
      </x:c>
      <x:c r="B3" s="45" t="str">
        <x:v>m</x:v>
      </x:c>
      <x:c r="C3" s="45" t="str">
        <x:v>ENGINEER</x:v>
      </x:c>
      <x:c r="D3" s="45" t="str">
        <x:v>Material</x:v>
      </x:c>
      <x:c r="E3" s="45" t="str">
        <x:v>Electrical</x:v>
      </x:c>
      <x:c r="F3" s="23" t="str">
        <x:v>Delayed</x:v>
      </x:c>
    </x:row>
    <x:row r="4">
      <x:c r="A4" s="152" t="str">
        <x:v>Completed</x:v>
      </x:c>
      <x:c r="B4" s="45" t="str">
        <x:v>pcs</x:v>
      </x:c>
      <x:c r="C4" s="45" t="str">
        <x:v>FOREMAN</x:v>
      </x:c>
      <x:c r="D4" s="45" t="str">
        <x:v>Equipment</x:v>
      </x:c>
      <x:c r="E4" s="45" t="str">
        <x:v>Plumbing</x:v>
      </x:c>
      <x:c r="F4" s="23" t="str">
        <x:v>Blocked</x:v>
      </x:c>
    </x:row>
    <x:row r="5">
      <x:c r="A5" s="152" t="str">
        <x:v>Blocked</x:v>
      </x:c>
      <x:c r="B5" s="45" t="str">
        <x:v>set</x:v>
      </x:c>
      <x:c r="C5" s="45" t="str">
        <x:v>CARPENTER</x:v>
      </x:c>
      <x:c r="D5" s="45" t="str">
        <x:v>Transport</x:v>
      </x:c>
      <x:c r="E5" s="45" t="str">
        <x:v>Paint</x:v>
      </x:c>
      <x:c r="F5" s="23" t="str">
        <x:v>Recovered</x:v>
      </x:c>
    </x:row>
    <x:row r="6">
      <x:c r="A6" s="152"/>
      <x:c r="B6" s="45" t="str">
        <x:v>day</x:v>
      </x:c>
      <x:c r="C6" s="45" t="str">
        <x:v>ELECTRICIAN</x:v>
      </x:c>
      <x:c r="D6" s="45" t="str">
        <x:v>Subcontract</x:v>
      </x:c>
      <x:c r="E6" s="45" t="str">
        <x:v>Flooring</x:v>
      </x:c>
      <x:c r="F6" s="23"/>
    </x:row>
    <x:row r="7">
      <x:c r="A7" s="152"/>
      <x:c r="B7" s="45" t="str">
        <x:v>hour</x:v>
      </x:c>
      <x:c r="C7" s="45" t="str">
        <x:v>PLUMBER</x:v>
      </x:c>
      <x:c r="D7" s="45" t="str">
        <x:v>Other</x:v>
      </x:c>
      <x:c r="E7" s="45" t="str">
        <x:v>Ceiling</x:v>
      </x:c>
      <x:c r="F7" s="23"/>
    </x:row>
    <x:row r="8">
      <x:c r="A8" s="152"/>
      <x:c r="B8" s="45" t="str">
        <x:v>kg</x:v>
      </x:c>
      <x:c r="C8" s="45" t="str">
        <x:v>PAINTER</x:v>
      </x:c>
      <x:c r="D8" s="45"/>
      <x:c r="E8" s="45" t="str">
        <x:v>Fastener</x:v>
      </x:c>
      <x:c r="F8" s="23"/>
    </x:row>
    <x:row r="9">
      <x:c r="A9" s="152"/>
      <x:c r="B9" s="45" t="str">
        <x:v>bag</x:v>
      </x:c>
      <x:c r="C9" s="45" t="str">
        <x:v>TILER</x:v>
      </x:c>
      <x:c r="D9" s="45"/>
      <x:c r="E9" s="45" t="str">
        <x:v>Safety</x:v>
      </x:c>
      <x:c r="F9" s="23"/>
    </x:row>
    <x:row r="10">
      <x:c r="A10" s="152"/>
      <x:c r="B10" s="45" t="str">
        <x:v>lot</x:v>
      </x:c>
      <x:c r="C10" s="45" t="str">
        <x:v>HELPER</x:v>
      </x:c>
      <x:c r="D10" s="45"/>
      <x:c r="E10" s="45" t="str">
        <x:v>Other</x:v>
      </x:c>
      <x:c r="F10" s="23"/>
    </x:row>
    <x:row r="11">
      <x:c r="A11" s="153"/>
      <x:c r="B11" s="46"/>
      <x:c r="C11" s="46" t="str">
        <x:v>SAFETY</x:v>
      </x:c>
      <x:c r="D11" s="46"/>
      <x:c r="E11" s="46"/>
      <x:c r="F11" s="25"/>
    </x:row>
    <x:row r="12">
      <x:c r="A12" s="143"/>
    </x:row>
    <x:row r="13">
      <x:c r="A13" s="143"/>
    </x:row>
    <x:row r="14">
      <x:c r="A14" s="143"/>
    </x:row>
    <x:row r="15">
      <x:c r="A15" s="143"/>
    </x:row>
    <x:row r="16">
      <x:c r="A16" s="143"/>
    </x:row>
    <x:row r="17">
      <x:c r="A17" s="143"/>
    </x:row>
    <x:row r="18">
      <x:c r="A18" s="143"/>
    </x:row>
    <x:row r="19">
      <x:c r="A19" s="143"/>
    </x:row>
    <x:row r="20">
      <x:c r="A20" s="143"/>
    </x:row>
    <x:row r="21">
      <x:c r="A21" s="143"/>
    </x:row>
    <x:row r="22">
      <x:c r="A22" s="143"/>
    </x:row>
    <x:row r="23">
      <x:c r="A23" s="143"/>
    </x:row>
    <x:row r="24">
      <x:c r="A24" s="143"/>
    </x:row>
    <x:row r="25">
      <x:c r="A25" s="143"/>
    </x:row>
    <x:row r="26">
      <x:c r="A26" s="143"/>
    </x:row>
    <x:row r="27">
      <x:c r="A27" s="143"/>
    </x:row>
    <x:row r="28">
      <x:c r="A28" s="143"/>
    </x:row>
    <x:row r="29">
      <x:c r="A29" s="143"/>
    </x:row>
    <x:row r="30">
      <x:c r="A30" s="143"/>
    </x:row>
    <x:row r="31">
      <x:c r="A31" s="143"/>
    </x:row>
    <x:row r="32">
      <x:c r="A32" s="143"/>
    </x:row>
    <x:row r="33">
      <x:c r="A33" s="143"/>
    </x:row>
    <x:row r="34">
      <x:c r="A34" s="143"/>
    </x:row>
    <x:row r="35">
      <x:c r="A35" s="143"/>
    </x:row>
    <x:row r="36">
      <x:c r="A36" s="143"/>
    </x:row>
    <x:row r="37">
      <x:c r="A37" s="143"/>
    </x:row>
    <x:row r="38">
      <x:c r="A38" s="143"/>
    </x:row>
    <x:row r="39">
      <x:c r="A39" s="143"/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2" hidden="0" customWidth="1"/>
    <x:col min="7" max="7" width="22" hidden="0" customWidth="1"/>
    <x:col min="8" max="8" width="13" hidden="0" customWidth="1"/>
    <x:col min="9" max="9" width="10" hidden="0" customWidth="1"/>
    <x:col min="10" max="10" width="12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5" t="str">
        <x:v>АЖЛЫН ЕРӨНХИЙ ТӨЛӨВЛӨГӨӨ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3"/>
    </x:row>
    <x:row r="3">
      <x:c r="A3" s="14" t="str">
        <x:v>Work_Code</x:v>
      </x:c>
      <x:c r="B3" s="14" t="str">
        <x:v>Work_Name</x:v>
      </x:c>
      <x:c r="C3" s="14" t="str">
        <x:v>Discipline</x:v>
      </x:c>
      <x:c r="D3" s="14" t="str">
        <x:v>Planned_Start</x:v>
      </x:c>
      <x:c r="E3" s="14" t="str">
        <x:v>Planned_End</x:v>
      </x:c>
      <x:c r="F3" s="14" t="str">
        <x:v>Duration_Days</x:v>
      </x:c>
      <x:c r="G3" s="14" t="str">
        <x:v>Dependency</x:v>
      </x:c>
      <x:c r="H3" s="14" t="str">
        <x:v>Planned_Qty</x:v>
      </x:c>
      <x:c r="I3" s="14" t="str">
        <x:v>Unit</x:v>
      </x:c>
      <x:c r="J3" s="14" t="str">
        <x:v>Progress_Pct</x:v>
      </x:c>
      <x:c r="K3" s="14" t="str">
        <x:v>Status</x:v>
      </x:c>
      <x:c r="L3" s="14" t="str">
        <x:v>Budget_Adjusted</x:v>
      </x:c>
      <x:c r="M3" s="14" t="str">
        <x:v>Actual_Cost</x:v>
      </x:c>
      <x:c r="N3" s="14" t="str">
        <x:v>Variance</x:v>
      </x:c>
    </x:row>
    <x:row r="4">
      <x:c r="A4" s="144" t="str">
        <x:v>W-001</x:v>
      </x:c>
      <x:c r="B4" s="81" t="str">
        <x:v>Талбай хүлээн авах, хамгаалалтын бүс байгуулах</x:v>
      </x:c>
      <x:c r="C4" s="81" t="str">
        <x:v>Mobilization</x:v>
      </x:c>
      <x:c r="D4" s="82" t="n">
        <x:v>46134</x:v>
      </x:c>
      <x:c r="E4" s="82" t="n">
        <x:v>46135</x:v>
      </x:c>
      <x:c r="F4" s="81" t="n">
        <x:f>E4-D4+1</x:f>
        <x:v>2</x:v>
      </x:c>
      <x:c r="G4" s="81" t="str"/>
      <x:c r="H4" s="83" t="n">
        <x:v>1</x:v>
      </x:c>
      <x:c r="I4" s="81" t="str">
        <x:v>lot</x:v>
      </x:c>
      <x:c r="J4" s="84" t="n">
        <x:v>100</x:v>
      </x:c>
      <x:c r="K4" s="81" t="str">
        <x:v>Completed</x:v>
      </x:c>
      <x:c r="L4" s="85" t="n">
        <x:v>5824000</x:v>
      </x:c>
      <x:c r="M4" s="85" t="n">
        <x:v>6010000</x:v>
      </x:c>
      <x:c r="N4" s="86" t="n">
        <x:f>L4-M4</x:f>
        <x:v>-186000</x:v>
      </x:c>
    </x:row>
    <x:row r="5">
      <x:c r="A5" s="145" t="str">
        <x:v>W-002</x:v>
      </x:c>
      <x:c r="B5" s="87" t="str">
        <x:v>Хуучин хана, таазны хэсэгчилсэн буулгалт</x:v>
      </x:c>
      <x:c r="C5" s="87" t="str">
        <x:v>Demolition</x:v>
      </x:c>
      <x:c r="D5" s="88" t="n">
        <x:v>46136</x:v>
      </x:c>
      <x:c r="E5" s="88" t="n">
        <x:v>46139</x:v>
      </x:c>
      <x:c r="F5" s="87" t="n">
        <x:f>E5-D5+1</x:f>
        <x:v>4</x:v>
      </x:c>
      <x:c r="G5" s="87" t="str">
        <x:v>W-001</x:v>
      </x:c>
      <x:c r="H5" s="89" t="n">
        <x:v>420</x:v>
      </x:c>
      <x:c r="I5" s="87" t="str">
        <x:v>m2</x:v>
      </x:c>
      <x:c r="J5" s="90" t="n">
        <x:v>100</x:v>
      </x:c>
      <x:c r="K5" s="87" t="str">
        <x:v>Completed</x:v>
      </x:c>
      <x:c r="L5" s="91" t="n">
        <x:v>15456000</x:v>
      </x:c>
      <x:c r="M5" s="91" t="n">
        <x:v>14838000</x:v>
      </x:c>
      <x:c r="N5" s="92" t="n">
        <x:f>L5-M5</x:f>
        <x:v>618000</x:v>
      </x:c>
    </x:row>
    <x:row r="6">
      <x:c r="A6" s="145" t="str">
        <x:v>W-003</x:v>
      </x:c>
      <x:c r="B6" s="87" t="str">
        <x:v>Хог хаягдал ангилан тээвэрлэх</x:v>
      </x:c>
      <x:c r="C6" s="87" t="str">
        <x:v>Demolition</x:v>
      </x:c>
      <x:c r="D6" s="88" t="n">
        <x:v>46137</x:v>
      </x:c>
      <x:c r="E6" s="88" t="n">
        <x:v>46141</x:v>
      </x:c>
      <x:c r="F6" s="87" t="n">
        <x:f>E6-D6+1</x:f>
        <x:v>5</x:v>
      </x:c>
      <x:c r="G6" s="87" t="str">
        <x:v>W-002</x:v>
      </x:c>
      <x:c r="H6" s="89" t="n">
        <x:v>22</x:v>
      </x:c>
      <x:c r="I6" s="87" t="str">
        <x:v>lot</x:v>
      </x:c>
      <x:c r="J6" s="90" t="n">
        <x:v>100</x:v>
      </x:c>
      <x:c r="K6" s="87" t="str">
        <x:v>Completed</x:v>
      </x:c>
      <x:c r="L6" s="91" t="n">
        <x:v>8064000</x:v>
      </x:c>
      <x:c r="M6" s="91" t="n">
        <x:v>7887000</x:v>
      </x:c>
      <x:c r="N6" s="92" t="n">
        <x:f>L6-M6</x:f>
        <x:v>177000</x:v>
      </x:c>
    </x:row>
    <x:row r="7">
      <x:c r="A7" s="145" t="str">
        <x:v>W-004</x:v>
      </x:c>
      <x:c r="B7" s="87" t="str">
        <x:v>Цахилгааны далд шугамын тэмдэглэгээ</x:v>
      </x:c>
      <x:c r="C7" s="87" t="str">
        <x:v>Electrical</x:v>
      </x:c>
      <x:c r="D7" s="88" t="n">
        <x:v>46140</x:v>
      </x:c>
      <x:c r="E7" s="88" t="n">
        <x:v>46141</x:v>
      </x:c>
      <x:c r="F7" s="87" t="n">
        <x:f>E7-D7+1</x:f>
        <x:v>2</x:v>
      </x:c>
      <x:c r="G7" s="87" t="str">
        <x:v>W-002</x:v>
      </x:c>
      <x:c r="H7" s="89" t="n">
        <x:v>1</x:v>
      </x:c>
      <x:c r="I7" s="87" t="str">
        <x:v>lot</x:v>
      </x:c>
      <x:c r="J7" s="90" t="n">
        <x:v>100</x:v>
      </x:c>
      <x:c r="K7" s="87" t="str">
        <x:v>Completed</x:v>
      </x:c>
      <x:c r="L7" s="91" t="n">
        <x:v>4032000</x:v>
      </x:c>
      <x:c r="M7" s="91" t="n">
        <x:v>4016000</x:v>
      </x:c>
      <x:c r="N7" s="92" t="n">
        <x:f>L7-M7</x:f>
        <x:v>16000</x:v>
      </x:c>
    </x:row>
    <x:row r="8">
      <x:c r="A8" s="145" t="str">
        <x:v>W-005</x:v>
      </x:c>
      <x:c r="B8" s="87" t="str">
        <x:v>Гипсэн хавтан ханын каркас угсрах</x:v>
      </x:c>
      <x:c r="C8" s="87" t="str">
        <x:v>Partition</x:v>
      </x:c>
      <x:c r="D8" s="88" t="n">
        <x:v>46142</x:v>
      </x:c>
      <x:c r="E8" s="88" t="n">
        <x:v>46148</x:v>
      </x:c>
      <x:c r="F8" s="87" t="n">
        <x:f>E8-D8+1</x:f>
        <x:v>7</x:v>
      </x:c>
      <x:c r="G8" s="87" t="str">
        <x:v>W-003</x:v>
      </x:c>
      <x:c r="H8" s="89" t="n">
        <x:v>310</x:v>
      </x:c>
      <x:c r="I8" s="87" t="str">
        <x:v>m2</x:v>
      </x:c>
      <x:c r="J8" s="90" t="n">
        <x:v>100</x:v>
      </x:c>
      <x:c r="K8" s="87" t="str">
        <x:v>Completed</x:v>
      </x:c>
      <x:c r="L8" s="91" t="n">
        <x:v>25536000</x:v>
      </x:c>
      <x:c r="M8" s="91" t="n">
        <x:v>25894000</x:v>
      </x:c>
      <x:c r="N8" s="92" t="n">
        <x:f>L8-M8</x:f>
        <x:v>-358000</x:v>
      </x:c>
    </x:row>
    <x:row r="9">
      <x:c r="A9" s="145" t="str">
        <x:v>W-006</x:v>
      </x:c>
      <x:c r="B9" s="87" t="str">
        <x:v>Цахилгааны кабель татах</x:v>
      </x:c>
      <x:c r="C9" s="87" t="str">
        <x:v>Electrical</x:v>
      </x:c>
      <x:c r="D9" s="88" t="n">
        <x:v>46142</x:v>
      </x:c>
      <x:c r="E9" s="88" t="n">
        <x:v>46150</x:v>
      </x:c>
      <x:c r="F9" s="87" t="n">
        <x:f>E9-D9+1</x:f>
        <x:v>9</x:v>
      </x:c>
      <x:c r="G9" s="87" t="str">
        <x:v>W-004</x:v>
      </x:c>
      <x:c r="H9" s="89" t="n">
        <x:v>1480</x:v>
      </x:c>
      <x:c r="I9" s="87" t="str">
        <x:v>m</x:v>
      </x:c>
      <x:c r="J9" s="90" t="n">
        <x:v>92</x:v>
      </x:c>
      <x:c r="K9" s="87" t="str">
        <x:v>In Progress</x:v>
      </x:c>
      <x:c r="L9" s="91" t="n">
        <x:v>30688000</x:v>
      </x:c>
      <x:c r="M9" s="91" t="n">
        <x:v>29136000</x:v>
      </x:c>
      <x:c r="N9" s="92" t="n">
        <x:f>L9-M9</x:f>
        <x:v>1552000</x:v>
      </x:c>
    </x:row>
    <x:row r="10">
      <x:c r="A10" s="145" t="str">
        <x:v>W-007</x:v>
      </x:c>
      <x:c r="B10" s="87" t="str">
        <x:v>Сантехникийн шугам шинэчлэх</x:v>
      </x:c>
      <x:c r="C10" s="87" t="str">
        <x:v>Plumbing</x:v>
      </x:c>
      <x:c r="D10" s="88" t="n">
        <x:v>46143</x:v>
      </x:c>
      <x:c r="E10" s="88" t="n">
        <x:v>46149</x:v>
      </x:c>
      <x:c r="F10" s="87" t="n">
        <x:f>E10-D10+1</x:f>
        <x:v>7</x:v>
      </x:c>
      <x:c r="G10" s="87" t="str">
        <x:v>W-003</x:v>
      </x:c>
      <x:c r="H10" s="89" t="n">
        <x:v>185</x:v>
      </x:c>
      <x:c r="I10" s="87" t="str">
        <x:v>m</x:v>
      </x:c>
      <x:c r="J10" s="90" t="n">
        <x:v>100</x:v>
      </x:c>
      <x:c r="K10" s="87" t="str">
        <x:v>Completed</x:v>
      </x:c>
      <x:c r="L10" s="91" t="n">
        <x:v>24192000</x:v>
      </x:c>
      <x:c r="M10" s="91" t="n">
        <x:v>23224000</x:v>
      </x:c>
      <x:c r="N10" s="92" t="n">
        <x:f>L10-M10</x:f>
        <x:v>968000</x:v>
      </x:c>
    </x:row>
    <x:row r="11">
      <x:c r="A11" s="145" t="str">
        <x:v>W-008</x:v>
      </x:c>
      <x:c r="B11" s="87" t="str">
        <x:v>Гипсэн хавтан хаалт, дуу тусгаарлалт</x:v>
      </x:c>
      <x:c r="C11" s="87" t="str">
        <x:v>Partition</x:v>
      </x:c>
      <x:c r="D11" s="88" t="n">
        <x:v>46149</x:v>
      </x:c>
      <x:c r="E11" s="88" t="n">
        <x:v>46156</x:v>
      </x:c>
      <x:c r="F11" s="87" t="n">
        <x:f>E11-D11+1</x:f>
        <x:v>8</x:v>
      </x:c>
      <x:c r="G11" s="87" t="str">
        <x:v>W-005,W-006,W-007</x:v>
      </x:c>
      <x:c r="H11" s="89" t="n">
        <x:v>310</x:v>
      </x:c>
      <x:c r="I11" s="87" t="str">
        <x:v>m2</x:v>
      </x:c>
      <x:c r="J11" s="90" t="n">
        <x:v>78</x:v>
      </x:c>
      <x:c r="K11" s="87" t="str">
        <x:v>In Progress</x:v>
      </x:c>
      <x:c r="L11" s="91" t="n">
        <x:v>35616000</x:v>
      </x:c>
      <x:c r="M11" s="91" t="n">
        <x:v>27169000</x:v>
      </x:c>
      <x:c r="N11" s="92" t="n">
        <x:f>L11-M11</x:f>
        <x:v>8447000</x:v>
      </x:c>
    </x:row>
    <x:row r="12">
      <x:c r="A12" s="145" t="str">
        <x:v>W-009</x:v>
      </x:c>
      <x:c r="B12" s="87" t="str">
        <x:v>Дүүжин таазны каркас</x:v>
      </x:c>
      <x:c r="C12" s="87" t="str">
        <x:v>Ceiling</x:v>
      </x:c>
      <x:c r="D12" s="88" t="n">
        <x:v>46151</x:v>
      </x:c>
      <x:c r="E12" s="88" t="n">
        <x:v>46157</x:v>
      </x:c>
      <x:c r="F12" s="87" t="n">
        <x:f>E12-D12+1</x:f>
        <x:v>7</x:v>
      </x:c>
      <x:c r="G12" s="87" t="str">
        <x:v>W-006</x:v>
      </x:c>
      <x:c r="H12" s="89" t="n">
        <x:v>520</x:v>
      </x:c>
      <x:c r="I12" s="87" t="str">
        <x:v>m2</x:v>
      </x:c>
      <x:c r="J12" s="90" t="n">
        <x:v>64</x:v>
      </x:c>
      <x:c r="K12" s="87" t="str">
        <x:v>In Progress</x:v>
      </x:c>
      <x:c r="L12" s="91" t="n">
        <x:v>27552000</x:v>
      </x:c>
      <x:c r="M12" s="91" t="n">
        <x:v>17563000</x:v>
      </x:c>
      <x:c r="N12" s="92" t="n">
        <x:f>L12-M12</x:f>
        <x:v>9989000</x:v>
      </x:c>
    </x:row>
    <x:row r="13">
      <x:c r="A13" s="145" t="str">
        <x:v>W-010</x:v>
      </x:c>
      <x:c r="B13" s="87" t="str">
        <x:v>Ханын шавардлага, тэгшилгээ</x:v>
      </x:c>
      <x:c r="C13" s="87" t="str">
        <x:v>Finishing</x:v>
      </x:c>
      <x:c r="D13" s="88" t="n">
        <x:v>46157</x:v>
      </x:c>
      <x:c r="E13" s="88" t="n">
        <x:v>46163</x:v>
      </x:c>
      <x:c r="F13" s="87" t="n">
        <x:f>E13-D13+1</x:f>
        <x:v>7</x:v>
      </x:c>
      <x:c r="G13" s="87" t="str">
        <x:v>W-008</x:v>
      </x:c>
      <x:c r="H13" s="89" t="n">
        <x:v>870</x:v>
      </x:c>
      <x:c r="I13" s="87" t="str">
        <x:v>m2</x:v>
      </x:c>
      <x:c r="J13" s="90" t="n">
        <x:v>35</x:v>
      </x:c>
      <x:c r="K13" s="87" t="str">
        <x:v>In Progress</x:v>
      </x:c>
      <x:c r="L13" s="91" t="n">
        <x:v>22176000</x:v>
      </x:c>
      <x:c r="M13" s="91" t="n">
        <x:v>7870000</x:v>
      </x:c>
      <x:c r="N13" s="92" t="n">
        <x:f>L13-M13</x:f>
        <x:v>14306000</x:v>
      </x:c>
    </x:row>
    <x:row r="14">
      <x:c r="A14" s="145" t="str">
        <x:v>W-011</x:v>
      </x:c>
      <x:c r="B14" s="87" t="str">
        <x:v>Шалны суурь тэгшилгээ</x:v>
      </x:c>
      <x:c r="C14" s="87" t="str">
        <x:v>Flooring</x:v>
      </x:c>
      <x:c r="D14" s="88" t="n">
        <x:v>46155</x:v>
      </x:c>
      <x:c r="E14" s="88" t="n">
        <x:v>46159</x:v>
      </x:c>
      <x:c r="F14" s="87" t="n">
        <x:f>E14-D14+1</x:f>
        <x:v>5</x:v>
      </x:c>
      <x:c r="G14" s="87" t="str">
        <x:v>W-007</x:v>
      </x:c>
      <x:c r="H14" s="89" t="n">
        <x:v>515</x:v>
      </x:c>
      <x:c r="I14" s="87" t="str">
        <x:v>m2</x:v>
      </x:c>
      <x:c r="J14" s="90" t="n">
        <x:v>100</x:v>
      </x:c>
      <x:c r="K14" s="87" t="str">
        <x:v>Completed</x:v>
      </x:c>
      <x:c r="L14" s="91" t="n">
        <x:v>18816000</x:v>
      </x:c>
      <x:c r="M14" s="91" t="n">
        <x:v>19418000</x:v>
      </x:c>
      <x:c r="N14" s="92" t="n">
        <x:f>L14-M14</x:f>
        <x:v>-602000</x:v>
      </x:c>
    </x:row>
    <x:row r="15">
      <x:c r="A15" s="145" t="str">
        <x:v>W-012</x:v>
      </x:c>
      <x:c r="B15" s="87" t="str">
        <x:v>Плита наах</x:v>
      </x:c>
      <x:c r="C15" s="87" t="str">
        <x:v>Flooring</x:v>
      </x:c>
      <x:c r="D15" s="88" t="n">
        <x:v>46160</x:v>
      </x:c>
      <x:c r="E15" s="88" t="n">
        <x:v>46165</x:v>
      </x:c>
      <x:c r="F15" s="87" t="n">
        <x:f>E15-D15+1</x:f>
        <x:v>6</x:v>
      </x:c>
      <x:c r="G15" s="87" t="str">
        <x:v>W-011</x:v>
      </x:c>
      <x:c r="H15" s="89" t="n">
        <x:v>185</x:v>
      </x:c>
      <x:c r="I15" s="87" t="str">
        <x:v>m2</x:v>
      </x:c>
      <x:c r="J15" s="90" t="n">
        <x:v>55</x:v>
      </x:c>
      <x:c r="K15" s="87" t="str">
        <x:v>In Progress</x:v>
      </x:c>
      <x:c r="L15" s="91" t="n">
        <x:v>20384000</x:v>
      </x:c>
      <x:c r="M15" s="91" t="n">
        <x:v>10763000</x:v>
      </x:c>
      <x:c r="N15" s="92" t="n">
        <x:f>L15-M15</x:f>
        <x:v>9621000</x:v>
      </x:c>
    </x:row>
    <x:row r="16">
      <x:c r="A16" s="145" t="str">
        <x:v>W-013</x:v>
      </x:c>
      <x:c r="B16" s="87" t="str">
        <x:v>Таазны хавтан угсрах</x:v>
      </x:c>
      <x:c r="C16" s="87" t="str">
        <x:v>Ceiling</x:v>
      </x:c>
      <x:c r="D16" s="88" t="n">
        <x:v>46158</x:v>
      </x:c>
      <x:c r="E16" s="88" t="n">
        <x:v>46163</x:v>
      </x:c>
      <x:c r="F16" s="87" t="n">
        <x:f>E16-D16+1</x:f>
        <x:v>6</x:v>
      </x:c>
      <x:c r="G16" s="87" t="str">
        <x:v>W-009</x:v>
      </x:c>
      <x:c r="H16" s="89" t="n">
        <x:v>520</x:v>
      </x:c>
      <x:c r="I16" s="87" t="str">
        <x:v>m2</x:v>
      </x:c>
      <x:c r="J16" s="90" t="n">
        <x:v>20</x:v>
      </x:c>
      <x:c r="K16" s="87" t="str">
        <x:v>In Progress</x:v>
      </x:c>
      <x:c r="L16" s="91" t="n">
        <x:v>23296000</x:v>
      </x:c>
      <x:c r="M16" s="91" t="n">
        <x:v>4557000</x:v>
      </x:c>
      <x:c r="N16" s="92" t="n">
        <x:f>L16-M16</x:f>
        <x:v>18739000</x:v>
      </x:c>
    </x:row>
    <x:row r="17">
      <x:c r="A17" s="145" t="str">
        <x:v>W-014</x:v>
      </x:c>
      <x:c r="B17" s="87" t="str">
        <x:v>Праймер болон суурь будалт</x:v>
      </x:c>
      <x:c r="C17" s="87" t="str">
        <x:v>Painting</x:v>
      </x:c>
      <x:c r="D17" s="88" t="n">
        <x:v>46164</x:v>
      </x:c>
      <x:c r="E17" s="88" t="n">
        <x:v>46168</x:v>
      </x:c>
      <x:c r="F17" s="87" t="n">
        <x:f>E17-D17+1</x:f>
        <x:v>5</x:v>
      </x:c>
      <x:c r="G17" s="87" t="str">
        <x:v>W-010,W-013</x:v>
      </x:c>
      <x:c r="H17" s="89" t="n">
        <x:v>1390</x:v>
      </x:c>
      <x:c r="I17" s="87" t="str">
        <x:v>m2</x:v>
      </x:c>
      <x:c r="J17" s="90" t="n">
        <x:v>0</x:v>
      </x:c>
      <x:c r="K17" s="87" t="str">
        <x:v>Not Started</x:v>
      </x:c>
      <x:c r="L17" s="91" t="n">
        <x:v>16128000</x:v>
      </x:c>
      <x:c r="M17" s="91" t="n">
        <x:v>0</x:v>
      </x:c>
      <x:c r="N17" s="92" t="n">
        <x:f>L17-M17</x:f>
        <x:v>16128000</x:v>
      </x:c>
    </x:row>
    <x:row r="18">
      <x:c r="A18" s="145" t="str">
        <x:v>W-015</x:v>
      </x:c>
      <x:c r="B18" s="87" t="str">
        <x:v>Эцсийн өнгөлгөөний будалт</x:v>
      </x:c>
      <x:c r="C18" s="87" t="str">
        <x:v>Painting</x:v>
      </x:c>
      <x:c r="D18" s="88" t="n">
        <x:v>46169</x:v>
      </x:c>
      <x:c r="E18" s="88" t="n">
        <x:v>46174</x:v>
      </x:c>
      <x:c r="F18" s="87" t="n">
        <x:f>E18-D18+1</x:f>
        <x:v>6</x:v>
      </x:c>
      <x:c r="G18" s="87" t="str">
        <x:v>W-014</x:v>
      </x:c>
      <x:c r="H18" s="89" t="n">
        <x:v>1390</x:v>
      </x:c>
      <x:c r="I18" s="87" t="str">
        <x:v>m2</x:v>
      </x:c>
      <x:c r="J18" s="90" t="n">
        <x:v>0</x:v>
      </x:c>
      <x:c r="K18" s="87" t="str">
        <x:v>Not Started</x:v>
      </x:c>
      <x:c r="L18" s="91" t="n">
        <x:v>32032000</x:v>
      </x:c>
      <x:c r="M18" s="91" t="n">
        <x:v>0</x:v>
      </x:c>
      <x:c r="N18" s="92" t="n">
        <x:f>L18-M18</x:f>
        <x:v>32032000</x:v>
      </x:c>
    </x:row>
    <x:row r="19">
      <x:c r="A19" s="145" t="str">
        <x:v>W-016</x:v>
      </x:c>
      <x:c r="B19" s="87" t="str">
        <x:v>Гэрэлтүүлэг, залгуур суурилуулах</x:v>
      </x:c>
      <x:c r="C19" s="87" t="str">
        <x:v>Electrical</x:v>
      </x:c>
      <x:c r="D19" s="88" t="n">
        <x:v>46164</x:v>
      </x:c>
      <x:c r="E19" s="88" t="n">
        <x:v>46172</x:v>
      </x:c>
      <x:c r="F19" s="87" t="n">
        <x:f>E19-D19+1</x:f>
        <x:v>9</x:v>
      </x:c>
      <x:c r="G19" s="87" t="str">
        <x:v>W-006,W-013</x:v>
      </x:c>
      <x:c r="H19" s="89" t="n">
        <x:v>146</x:v>
      </x:c>
      <x:c r="I19" s="87" t="str">
        <x:v>pcs</x:v>
      </x:c>
      <x:c r="J19" s="90" t="n">
        <x:v>0</x:v>
      </x:c>
      <x:c r="K19" s="87" t="str">
        <x:v>Not Started</x:v>
      </x:c>
      <x:c r="L19" s="91" t="n">
        <x:v>26208000</x:v>
      </x:c>
      <x:c r="M19" s="91" t="n">
        <x:v>0</x:v>
      </x:c>
      <x:c r="N19" s="92" t="n">
        <x:f>L19-M19</x:f>
        <x:v>26208000</x:v>
      </x:c>
    </x:row>
    <x:row r="20">
      <x:c r="A20" s="145" t="str">
        <x:v>W-017</x:v>
      </x:c>
      <x:c r="B20" s="87" t="str">
        <x:v>Сантехникийн тоноглол суурилуулах</x:v>
      </x:c>
      <x:c r="C20" s="87" t="str">
        <x:v>Plumbing</x:v>
      </x:c>
      <x:c r="D20" s="88" t="n">
        <x:v>46166</x:v>
      </x:c>
      <x:c r="E20" s="88" t="n">
        <x:v>46171</x:v>
      </x:c>
      <x:c r="F20" s="87" t="n">
        <x:f>E20-D20+1</x:f>
        <x:v>6</x:v>
      </x:c>
      <x:c r="G20" s="87" t="str">
        <x:v>W-007,W-012</x:v>
      </x:c>
      <x:c r="H20" s="89" t="n">
        <x:v>18</x:v>
      </x:c>
      <x:c r="I20" s="87" t="str">
        <x:v>set</x:v>
      </x:c>
      <x:c r="J20" s="90" t="n">
        <x:v>0</x:v>
      </x:c>
      <x:c r="K20" s="87" t="str">
        <x:v>Not Started</x:v>
      </x:c>
      <x:c r="L20" s="91" t="n">
        <x:v>19712000</x:v>
      </x:c>
      <x:c r="M20" s="91" t="n">
        <x:v>0</x:v>
      </x:c>
      <x:c r="N20" s="92" t="n">
        <x:f>L20-M20</x:f>
        <x:v>19712000</x:v>
      </x:c>
    </x:row>
    <x:row r="21">
      <x:c r="A21" s="145" t="str">
        <x:v>W-018</x:v>
      </x:c>
      <x:c r="B21" s="87" t="str">
        <x:v>Шалны винил өнгөлгөө</x:v>
      </x:c>
      <x:c r="C21" s="87" t="str">
        <x:v>Flooring</x:v>
      </x:c>
      <x:c r="D21" s="88" t="n">
        <x:v>46166</x:v>
      </x:c>
      <x:c r="E21" s="88" t="n">
        <x:v>46172</x:v>
      </x:c>
      <x:c r="F21" s="87" t="n">
        <x:f>E21-D21+1</x:f>
        <x:v>7</x:v>
      </x:c>
      <x:c r="G21" s="87" t="str">
        <x:v>W-011,W-012</x:v>
      </x:c>
      <x:c r="H21" s="89" t="n">
        <x:v>330</x:v>
      </x:c>
      <x:c r="I21" s="87" t="str">
        <x:v>m2</x:v>
      </x:c>
      <x:c r="J21" s="90" t="n">
        <x:v>0</x:v>
      </x:c>
      <x:c r="K21" s="87" t="str">
        <x:v>Not Started</x:v>
      </x:c>
      <x:c r="L21" s="91" t="n">
        <x:v>28896000</x:v>
      </x:c>
      <x:c r="M21" s="91" t="n">
        <x:v>0</x:v>
      </x:c>
      <x:c r="N21" s="92" t="n">
        <x:f>L21-M21</x:f>
        <x:v>28896000</x:v>
      </x:c>
    </x:row>
    <x:row r="22">
      <x:c r="A22" s="145" t="str">
        <x:v>W-019</x:v>
      </x:c>
      <x:c r="B22" s="87" t="str">
        <x:v>Хаалга, шилэн хана суурилуулах</x:v>
      </x:c>
      <x:c r="C22" s="87" t="str">
        <x:v>Joinery</x:v>
      </x:c>
      <x:c r="D22" s="88" t="n">
        <x:v>46170</x:v>
      </x:c>
      <x:c r="E22" s="88" t="n">
        <x:v>46176</x:v>
      </x:c>
      <x:c r="F22" s="87" t="n">
        <x:f>E22-D22+1</x:f>
        <x:v>7</x:v>
      </x:c>
      <x:c r="G22" s="87" t="str">
        <x:v>W-015</x:v>
      </x:c>
      <x:c r="H22" s="89" t="n">
        <x:v>21</x:v>
      </x:c>
      <x:c r="I22" s="87" t="str">
        <x:v>set</x:v>
      </x:c>
      <x:c r="J22" s="90" t="n">
        <x:v>0</x:v>
      </x:c>
      <x:c r="K22" s="87" t="str">
        <x:v>Not Started</x:v>
      </x:c>
      <x:c r="L22" s="91" t="n">
        <x:v>34944000</x:v>
      </x:c>
      <x:c r="M22" s="91" t="n">
        <x:v>0</x:v>
      </x:c>
      <x:c r="N22" s="92" t="n">
        <x:f>L22-M22</x:f>
        <x:v>34944000</x:v>
      </x:c>
    </x:row>
    <x:row r="23">
      <x:c r="A23" s="146" t="str">
        <x:v>W-020</x:v>
      </x:c>
      <x:c r="B23" s="93" t="str">
        <x:v>Туршилт, цэвэрлэгээ, хүлээлгэн өгөх</x:v>
      </x:c>
      <x:c r="C23" s="93" t="str">
        <x:v>Handover</x:v>
      </x:c>
      <x:c r="D23" s="94" t="n">
        <x:v>46177</x:v>
      </x:c>
      <x:c r="E23" s="94" t="n">
        <x:v>46179</x:v>
      </x:c>
      <x:c r="F23" s="93" t="n">
        <x:f>E23-D23+1</x:f>
        <x:v>3</x:v>
      </x:c>
      <x:c r="G23" s="93" t="str">
        <x:v>W-016,W-017,W-018,W-019</x:v>
      </x:c>
      <x:c r="H23" s="95" t="n">
        <x:v>1</x:v>
      </x:c>
      <x:c r="I23" s="93" t="str">
        <x:v>lot</x:v>
      </x:c>
      <x:c r="J23" s="96" t="n">
        <x:v>0</x:v>
      </x:c>
      <x:c r="K23" s="93" t="str">
        <x:v>Not Started</x:v>
      </x:c>
      <x:c r="L23" s="97" t="n">
        <x:v>10976000</x:v>
      </x:c>
      <x:c r="M23" s="97" t="n">
        <x:v>0</x:v>
      </x:c>
      <x:c r="N23" s="98" t="n">
        <x:f>L23-M23</x:f>
        <x:v>10976000</x:v>
      </x:c>
    </x:row>
    <x:row r="24">
      <x:c r="A24" s="143"/>
    </x:row>
    <x:row r="25">
      <x:c r="A25" s="143"/>
    </x:row>
    <x:row r="26">
      <x:c r="A26" s="143"/>
    </x:row>
    <x:row r="27">
      <x:c r="A27" s="143"/>
    </x:row>
    <x:row r="28">
      <x:c r="A28" s="143"/>
    </x:row>
    <x:row r="29">
      <x:c r="A29" s="143"/>
    </x:row>
    <x:row r="30">
      <x:c r="A30" s="143"/>
    </x:row>
    <x:row r="31">
      <x:c r="A31" s="143"/>
    </x:row>
    <x:row r="32">
      <x:c r="A32" s="143"/>
    </x:row>
    <x:row r="33">
      <x:c r="A33" s="143"/>
    </x:row>
    <x:row r="34">
      <x:c r="A34" s="143"/>
    </x:row>
    <x:row r="35">
      <x:c r="A35" s="143"/>
    </x:row>
    <x:row r="36">
      <x:c r="A36" s="143"/>
    </x:row>
    <x:row r="37">
      <x:c r="A37" s="143"/>
    </x:row>
    <x:row r="38">
      <x:c r="A38" s="143"/>
    </x:row>
    <x:row r="39">
      <x:c r="A39" s="143"/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N1"/>
  </x:mergeCells>
  <x:conditionalFormatting sqref="J4:J23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{9E76ACE5-E1F0-EC69-9B67-07908FB27FB4}</x14:id>
        </x:ext>
      </x:extLst>
    </x:cfRule>
  </x:conditionalFormatting>
  <x:conditionalFormatting sqref="N4:N23">
    <x:cfRule type="cellIs" dxfId="0" priority="2" operator="lessThan">
      <x:formula>0</x:formula>
    </x:cfRule>
  </x:conditionalFormatting>
  <x:dataValidations count="2">
    <x:dataValidation type="list" sqref="I4:I23">
      <x:formula1>Lists!$B$2:$B$10</x:formula1>
    </x:dataValidation>
    <x:dataValidation type="list" sqref="K4:K23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4dc70e593440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E76ACE5-E1F0-EC69-9B67-07908FB27FB4}">
            <x14:dataBar gradient="1">
              <x14:cfvo type="min"/>
              <x14:cfvo type="max"/>
              <x14:fillColor rgb="FF5B9BD5"/>
            </x14:dataBar>
          </x14:cfRule>
          <xm:sqref>J4:J23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0" hidden="0" customWidth="1"/>
    <x:col min="8" max="8" width="13" hidden="0" customWidth="1"/>
    <x:col min="9" max="9" width="12" hidden="0" customWidth="1"/>
    <x:col min="10" max="10" width="14" hidden="0" customWidth="1"/>
    <x:col min="11" max="11" width="48" hidden="0" customWidth="1"/>
    <x:col min="12" max="12" width="12" hidden="0" customWidth="1"/>
  </x:cols>
  <x:sheetData>
    <x:row r="1">
      <x:c r="A1" s="5" t="str">
        <x:v>ӨДӨР ТУТМЫН ТАЙЛАН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3"/>
    </x:row>
    <x:row r="3">
      <x:c r="A3" s="14" t="str">
        <x:v>Report_ID</x:v>
      </x:c>
      <x:c r="B3" s="14" t="str">
        <x:v>Date</x:v>
      </x:c>
      <x:c r="C3" s="14" t="str">
        <x:v>Work_Code</x:v>
      </x:c>
      <x:c r="D3" s="14" t="str">
        <x:v>Crew_Count</x:v>
      </x:c>
      <x:c r="E3" s="14" t="str">
        <x:v>Hours_Worked</x:v>
      </x:c>
      <x:c r="F3" s="14" t="str">
        <x:v>Qty_Completed</x:v>
      </x:c>
      <x:c r="G3" s="14" t="str">
        <x:v>Unit</x:v>
      </x:c>
      <x:c r="H3" s="14" t="str">
        <x:v>Daily_Status</x:v>
      </x:c>
      <x:c r="I3" s="14" t="str">
        <x:v>Issue_Code</x:v>
      </x:c>
      <x:c r="J3" s="14" t="str">
        <x:v>Safety_Incident</x:v>
      </x:c>
      <x:c r="K3" s="14" t="str">
        <x:v>Progress_Note</x:v>
      </x:c>
      <x:c r="L3" s="14" t="str">
        <x:v>Weather</x:v>
      </x:c>
    </x:row>
    <x:row r="4">
      <x:c r="A4" s="144" t="str">
        <x:v>DR-0001</x:v>
      </x:c>
      <x:c r="B4" s="82" t="n">
        <x:v>46134</x:v>
      </x:c>
      <x:c r="C4" s="81" t="str">
        <x:v>W-001</x:v>
      </x:c>
      <x:c r="D4" s="83" t="n">
        <x:v>3</x:v>
      </x:c>
      <x:c r="E4" s="83" t="n">
        <x:v>28.1</x:v>
      </x:c>
      <x:c r="F4" s="83" t="n">
        <x:v>0.51</x:v>
      </x:c>
      <x:c r="G4" s="81" t="str">
        <x:v>lot</x:v>
      </x:c>
      <x:c r="H4" s="81" t="str">
        <x:v>Delayed</x:v>
      </x:c>
      <x:c r="I4" s="81" t="str">
        <x:v>ISS-001</x:v>
      </x:c>
      <x:c r="J4" s="81" t="str">
        <x:v>No</x:v>
      </x:c>
      <x:c r="K4" s="81" t="str">
        <x:v>Талбай хүлээн авах, хамгаалалтын бүс байгуулах: өдөрт төлөвлөсөн хэмжээнээс -5% зөрүүтэй гүйцэтгэл.</x:v>
      </x:c>
      <x:c r="L4" s="33" t="str">
        <x:v>Clear</x:v>
      </x:c>
    </x:row>
    <x:row r="5">
      <x:c r="A5" s="145" t="str">
        <x:v>DR-0002</x:v>
      </x:c>
      <x:c r="B5" s="88" t="n">
        <x:v>46135</x:v>
      </x:c>
      <x:c r="C5" s="87" t="str">
        <x:v>W-001</x:v>
      </x:c>
      <x:c r="D5" s="89" t="n">
        <x:v>3</x:v>
      </x:c>
      <x:c r="E5" s="89" t="n">
        <x:v>27.6</x:v>
      </x:c>
      <x:c r="F5" s="89" t="n">
        <x:v>0.39</x:v>
      </x:c>
      <x:c r="G5" s="87" t="str">
        <x:v>lot</x:v>
      </x:c>
      <x:c r="H5" s="87" t="str">
        <x:v>Delayed</x:v>
      </x:c>
      <x:c r="I5" s="87" t="str">
        <x:v>ISS-003</x:v>
      </x:c>
      <x:c r="J5" s="87" t="str">
        <x:v>No</x:v>
      </x:c>
      <x:c r="K5" s="87" t="str">
        <x:v>Талбай хүлээн авах, хамгаалалтын бүс байгуулах: өдөрт төлөвлөсөн хэмжээнээс -10% зөрүүтэй гүйцэтгэл.</x:v>
      </x:c>
      <x:c r="L5" s="35" t="str">
        <x:v>Cloudy</x:v>
      </x:c>
    </x:row>
    <x:row r="6">
      <x:c r="A6" s="145" t="str">
        <x:v>DR-0003</x:v>
      </x:c>
      <x:c r="B6" s="88" t="n">
        <x:v>46136</x:v>
      </x:c>
      <x:c r="C6" s="87" t="str">
        <x:v>W-002</x:v>
      </x:c>
      <x:c r="D6" s="89" t="n">
        <x:v>3</x:v>
      </x:c>
      <x:c r="E6" s="89" t="n">
        <x:v>22.7</x:v>
      </x:c>
      <x:c r="F6" s="89" t="n">
        <x:v>104.12</x:v>
      </x:c>
      <x:c r="G6" s="87" t="str">
        <x:v>m2</x:v>
      </x:c>
      <x:c r="H6" s="87" t="str">
        <x:v>Delayed</x:v>
      </x:c>
      <x:c r="I6" s="87" t="str">
        <x:v>ISS-001</x:v>
      </x:c>
      <x:c r="J6" s="87" t="str">
        <x:v>No</x:v>
      </x:c>
      <x:c r="K6" s="87" t="str">
        <x:v>Хуучин хана, таазны хэсэгчилсэн буулгалт: өдөрт төлөвлөсөн хэмжээнээс -5% зөрүүтэй гүйцэтгэл.</x:v>
      </x:c>
      <x:c r="L6" s="35" t="str">
        <x:v>Light Rain</x:v>
      </x:c>
    </x:row>
    <x:row r="7">
      <x:c r="A7" s="145" t="str">
        <x:v>DR-0004</x:v>
      </x:c>
      <x:c r="B7" s="88" t="n">
        <x:v>46137</x:v>
      </x:c>
      <x:c r="C7" s="87" t="str">
        <x:v>W-003</x:v>
      </x:c>
      <x:c r="D7" s="89" t="n">
        <x:v>8</x:v>
      </x:c>
      <x:c r="E7" s="89" t="n">
        <x:v>73</x:v>
      </x:c>
      <x:c r="F7" s="89" t="n">
        <x:v>4.3</x:v>
      </x:c>
      <x:c r="G7" s="87" t="str">
        <x:v>lot</x:v>
      </x:c>
      <x:c r="H7" s="87" t="str">
        <x:v>Delayed</x:v>
      </x:c>
      <x:c r="I7" s="87" t="str">
        <x:v>ISS-003</x:v>
      </x:c>
      <x:c r="J7" s="87" t="str">
        <x:v>No</x:v>
      </x:c>
      <x:c r="K7" s="87" t="str">
        <x:v>Хог хаягдал ангилан тээвэрлэх: өдөрт төлөвлөсөн хэмжээнээс 1% зөрүүтэй гүйцэтгэл.</x:v>
      </x:c>
      <x:c r="L7" s="35" t="str">
        <x:v>Clear</x:v>
      </x:c>
    </x:row>
    <x:row r="8">
      <x:c r="A8" s="145" t="str">
        <x:v>DR-0005</x:v>
      </x:c>
      <x:c r="B8" s="88" t="n">
        <x:v>46137</x:v>
      </x:c>
      <x:c r="C8" s="87" t="str">
        <x:v>W-002</x:v>
      </x:c>
      <x:c r="D8" s="89" t="n">
        <x:v>7</x:v>
      </x:c>
      <x:c r="E8" s="89" t="n">
        <x:v>57.4</x:v>
      </x:c>
      <x:c r="F8" s="89" t="n">
        <x:v>86.25</x:v>
      </x:c>
      <x:c r="G8" s="87" t="str">
        <x:v>m2</x:v>
      </x:c>
      <x:c r="H8" s="87" t="str">
        <x:v>Normal</x:v>
      </x:c>
      <x:c r="I8" s="87" t="str"/>
      <x:c r="J8" s="87" t="str">
        <x:v>No</x:v>
      </x:c>
      <x:c r="K8" s="87" t="str">
        <x:v>Хуучин хана, таазны хэсэгчилсэн буулгалт: өдөрт төлөвлөсөн хэмжээнээс -7% зөрүүтэй гүйцэтгэл.</x:v>
      </x:c>
      <x:c r="L8" s="35" t="str">
        <x:v>Clear</x:v>
      </x:c>
    </x:row>
    <x:row r="9">
      <x:c r="A9" s="145" t="str">
        <x:v>DR-0006</x:v>
      </x:c>
      <x:c r="B9" s="88" t="n">
        <x:v>46138</x:v>
      </x:c>
      <x:c r="C9" s="87" t="str">
        <x:v>W-002</x:v>
      </x:c>
      <x:c r="D9" s="89" t="n">
        <x:v>4</x:v>
      </x:c>
      <x:c r="E9" s="89" t="n">
        <x:v>32.2</x:v>
      </x:c>
      <x:c r="F9" s="89" t="n">
        <x:v>92.03</x:v>
      </x:c>
      <x:c r="G9" s="87" t="str">
        <x:v>m2</x:v>
      </x:c>
      <x:c r="H9" s="87" t="str">
        <x:v>Delayed</x:v>
      </x:c>
      <x:c r="I9" s="87" t="str">
        <x:v>ISS-002</x:v>
      </x:c>
      <x:c r="J9" s="87" t="str">
        <x:v>No</x:v>
      </x:c>
      <x:c r="K9" s="87" t="str">
        <x:v>Хуучин хана, таазны хэсэгчилсэн буулгалт: өдөрт төлөвлөсөн хэмжээнээс -9% зөрүүтэй гүйцэтгэл.</x:v>
      </x:c>
      <x:c r="L9" s="35" t="str">
        <x:v>Windy</x:v>
      </x:c>
    </x:row>
    <x:row r="10">
      <x:c r="A10" s="145" t="str">
        <x:v>DR-0007</x:v>
      </x:c>
      <x:c r="B10" s="88" t="n">
        <x:v>46138</x:v>
      </x:c>
      <x:c r="C10" s="87" t="str">
        <x:v>W-003</x:v>
      </x:c>
      <x:c r="D10" s="89" t="n">
        <x:v>3</x:v>
      </x:c>
      <x:c r="E10" s="89" t="n">
        <x:v>25.2</x:v>
      </x:c>
      <x:c r="F10" s="89" t="n">
        <x:v>3.36</x:v>
      </x:c>
      <x:c r="G10" s="87" t="str">
        <x:v>lot</x:v>
      </x:c>
      <x:c r="H10" s="87" t="str">
        <x:v>Delayed</x:v>
      </x:c>
      <x:c r="I10" s="87" t="str">
        <x:v>ISS-002</x:v>
      </x:c>
      <x:c r="J10" s="87" t="str">
        <x:v>No</x:v>
      </x:c>
      <x:c r="K10" s="87" t="str">
        <x:v>Хог хаягдал ангилан тээвэрлэх: өдөрт төлөвлөсөн хэмжээнээс 7% зөрүүтэй гүйцэтгэл.</x:v>
      </x:c>
      <x:c r="L10" s="35" t="str">
        <x:v>Windy</x:v>
      </x:c>
    </x:row>
    <x:row r="11">
      <x:c r="A11" s="145" t="str">
        <x:v>DR-0008</x:v>
      </x:c>
      <x:c r="B11" s="88" t="n">
        <x:v>46139</x:v>
      </x:c>
      <x:c r="C11" s="87" t="str">
        <x:v>W-002</x:v>
      </x:c>
      <x:c r="D11" s="89" t="n">
        <x:v>8</x:v>
      </x:c>
      <x:c r="E11" s="89" t="n">
        <x:v>69.2</x:v>
      </x:c>
      <x:c r="F11" s="89" t="n">
        <x:v>114.58</x:v>
      </x:c>
      <x:c r="G11" s="87" t="str">
        <x:v>m2</x:v>
      </x:c>
      <x:c r="H11" s="87" t="str">
        <x:v>Normal</x:v>
      </x:c>
      <x:c r="I11" s="87" t="str"/>
      <x:c r="J11" s="87" t="str">
        <x:v>No</x:v>
      </x:c>
      <x:c r="K11" s="87" t="str">
        <x:v>Хуучин хана, таазны хэсэгчилсэн буулгалт: өдөрт төлөвлөсөн хэмжээнээс 0% зөрүүтэй гүйцэтгэл.</x:v>
      </x:c>
      <x:c r="L11" s="35" t="str">
        <x:v>Clear</x:v>
      </x:c>
    </x:row>
    <x:row r="12">
      <x:c r="A12" s="145" t="str">
        <x:v>DR-0009</x:v>
      </x:c>
      <x:c r="B12" s="88" t="n">
        <x:v>46139</x:v>
      </x:c>
      <x:c r="C12" s="87" t="str">
        <x:v>W-003</x:v>
      </x:c>
      <x:c r="D12" s="89" t="n">
        <x:v>5</x:v>
      </x:c>
      <x:c r="E12" s="89" t="n">
        <x:v>47.9</x:v>
      </x:c>
      <x:c r="F12" s="89" t="n">
        <x:v>3.33</x:v>
      </x:c>
      <x:c r="G12" s="87" t="str">
        <x:v>lot</x:v>
      </x:c>
      <x:c r="H12" s="87" t="str">
        <x:v>Normal</x:v>
      </x:c>
      <x:c r="I12" s="87" t="str"/>
      <x:c r="J12" s="87" t="str">
        <x:v>No</x:v>
      </x:c>
      <x:c r="K12" s="87" t="str">
        <x:v>Хог хаягдал ангилан тээвэрлэх: өдөрт төлөвлөсөн хэмжээнээс -1% зөрүүтэй гүйцэтгэл.</x:v>
      </x:c>
      <x:c r="L12" s="35" t="str">
        <x:v>Clear</x:v>
      </x:c>
    </x:row>
    <x:row r="13">
      <x:c r="A13" s="145" t="str">
        <x:v>DR-0010</x:v>
      </x:c>
      <x:c r="B13" s="88" t="n">
        <x:v>46140</x:v>
      </x:c>
      <x:c r="C13" s="87" t="str">
        <x:v>W-004</x:v>
      </x:c>
      <x:c r="D13" s="89" t="n">
        <x:v>3</x:v>
      </x:c>
      <x:c r="E13" s="89" t="n">
        <x:v>27.5</x:v>
      </x:c>
      <x:c r="F13" s="89" t="n">
        <x:v>0.52</x:v>
      </x:c>
      <x:c r="G13" s="87" t="str">
        <x:v>lot</x:v>
      </x:c>
      <x:c r="H13" s="87" t="str">
        <x:v>Normal</x:v>
      </x:c>
      <x:c r="I13" s="87" t="str"/>
      <x:c r="J13" s="87" t="str">
        <x:v>No</x:v>
      </x:c>
      <x:c r="K13" s="87" t="str">
        <x:v>Цахилгааны далд шугамын тэмдэглэгээ: өдөрт төлөвлөсөн хэмжээнээс 15% зөрүүтэй гүйцэтгэл.</x:v>
      </x:c>
      <x:c r="L13" s="35" t="str">
        <x:v>Cloudy</x:v>
      </x:c>
    </x:row>
    <x:row r="14">
      <x:c r="A14" s="145" t="str">
        <x:v>DR-0011</x:v>
      </x:c>
      <x:c r="B14" s="88" t="n">
        <x:v>46140</x:v>
      </x:c>
      <x:c r="C14" s="87" t="str">
        <x:v>W-003</x:v>
      </x:c>
      <x:c r="D14" s="89" t="n">
        <x:v>3</x:v>
      </x:c>
      <x:c r="E14" s="89" t="n">
        <x:v>25.4</x:v>
      </x:c>
      <x:c r="F14" s="89" t="n">
        <x:v>3.64</x:v>
      </x:c>
      <x:c r="G14" s="87" t="str">
        <x:v>lot</x:v>
      </x:c>
      <x:c r="H14" s="87" t="str">
        <x:v>Normal</x:v>
      </x:c>
      <x:c r="I14" s="87" t="str"/>
      <x:c r="J14" s="87" t="str">
        <x:v>No</x:v>
      </x:c>
      <x:c r="K14" s="87" t="str">
        <x:v>Хог хаягдал ангилан тээвэрлэх: өдөрт төлөвлөсөн хэмжээнээс -1% зөрүүтэй гүйцэтгэл.</x:v>
      </x:c>
      <x:c r="L14" s="35" t="str">
        <x:v>Cloudy</x:v>
      </x:c>
    </x:row>
    <x:row r="15">
      <x:c r="A15" s="145" t="str">
        <x:v>DR-0012</x:v>
      </x:c>
      <x:c r="B15" s="88" t="n">
        <x:v>46141</x:v>
      </x:c>
      <x:c r="C15" s="87" t="str">
        <x:v>W-004</x:v>
      </x:c>
      <x:c r="D15" s="89" t="n">
        <x:v>4</x:v>
      </x:c>
      <x:c r="E15" s="89" t="n">
        <x:v>36.7</x:v>
      </x:c>
      <x:c r="F15" s="89" t="n">
        <x:v>0.45</x:v>
      </x:c>
      <x:c r="G15" s="87" t="str">
        <x:v>lot</x:v>
      </x:c>
      <x:c r="H15" s="87" t="str">
        <x:v>Normal</x:v>
      </x:c>
      <x:c r="I15" s="87" t="str"/>
      <x:c r="J15" s="87" t="str">
        <x:v>No</x:v>
      </x:c>
      <x:c r="K15" s="87" t="str">
        <x:v>Цахилгааны далд шугамын тэмдэглэгээ: өдөрт төлөвлөсөн хэмжээнээс -7% зөрүүтэй гүйцэтгэл.</x:v>
      </x:c>
      <x:c r="L15" s="35" t="str">
        <x:v>Light Rain</x:v>
      </x:c>
    </x:row>
    <x:row r="16">
      <x:c r="A16" s="145" t="str">
        <x:v>DR-0013</x:v>
      </x:c>
      <x:c r="B16" s="88" t="n">
        <x:v>46141</x:v>
      </x:c>
      <x:c r="C16" s="87" t="str">
        <x:v>W-003</x:v>
      </x:c>
      <x:c r="D16" s="89" t="n">
        <x:v>4</x:v>
      </x:c>
      <x:c r="E16" s="89" t="n">
        <x:v>31.6</x:v>
      </x:c>
      <x:c r="F16" s="89" t="n">
        <x:v>4.25</x:v>
      </x:c>
      <x:c r="G16" s="87" t="str">
        <x:v>lot</x:v>
      </x:c>
      <x:c r="H16" s="87" t="str">
        <x:v>Normal</x:v>
      </x:c>
      <x:c r="I16" s="87" t="str"/>
      <x:c r="J16" s="87" t="str">
        <x:v>No</x:v>
      </x:c>
      <x:c r="K16" s="87" t="str">
        <x:v>Хог хаягдал ангилан тээвэрлэх: өдөрт төлөвлөсөн хэмжээнээс 17% зөрүүтэй гүйцэтгэл.</x:v>
      </x:c>
      <x:c r="L16" s="35" t="str">
        <x:v>Light Rain</x:v>
      </x:c>
    </x:row>
    <x:row r="17">
      <x:c r="A17" s="145" t="str">
        <x:v>DR-0014</x:v>
      </x:c>
      <x:c r="B17" s="88" t="n">
        <x:v>46142</x:v>
      </x:c>
      <x:c r="C17" s="87" t="str">
        <x:v>W-006</x:v>
      </x:c>
      <x:c r="D17" s="89" t="n">
        <x:v>9</x:v>
      </x:c>
      <x:c r="E17" s="89" t="n">
        <x:v>84.8</x:v>
      </x:c>
      <x:c r="F17" s="89" t="n">
        <x:v>170.19</x:v>
      </x:c>
      <x:c r="G17" s="87" t="str">
        <x:v>m</x:v>
      </x:c>
      <x:c r="H17" s="87" t="str">
        <x:v>Normal</x:v>
      </x:c>
      <x:c r="I17" s="87" t="str"/>
      <x:c r="J17" s="87" t="str">
        <x:v>No</x:v>
      </x:c>
      <x:c r="K17" s="87" t="str">
        <x:v>Цахилгааны кабель татах: өдөрт төлөвлөсөн хэмжээнээс -11% зөрүүтэй гүйцэтгэл.</x:v>
      </x:c>
      <x:c r="L17" s="35" t="str">
        <x:v>Clear</x:v>
      </x:c>
    </x:row>
    <x:row r="18">
      <x:c r="A18" s="145" t="str">
        <x:v>DR-0015</x:v>
      </x:c>
      <x:c r="B18" s="88" t="n">
        <x:v>46142</x:v>
      </x:c>
      <x:c r="C18" s="87" t="str">
        <x:v>W-005</x:v>
      </x:c>
      <x:c r="D18" s="89" t="n">
        <x:v>6</x:v>
      </x:c>
      <x:c r="E18" s="89" t="n">
        <x:v>49</x:v>
      </x:c>
      <x:c r="F18" s="89" t="n">
        <x:v>48.29</x:v>
      </x:c>
      <x:c r="G18" s="87" t="str">
        <x:v>m2</x:v>
      </x:c>
      <x:c r="H18" s="87" t="str">
        <x:v>Delayed</x:v>
      </x:c>
      <x:c r="I18" s="87" t="str">
        <x:v>ISS-001</x:v>
      </x:c>
      <x:c r="J18" s="87" t="str">
        <x:v>No</x:v>
      </x:c>
      <x:c r="K18" s="87" t="str">
        <x:v>Гипсэн хавтан ханын каркас угсрах: өдөрт төлөвлөсөн хэмжээнээс 17% зөрүүтэй гүйцэтгэл.</x:v>
      </x:c>
      <x:c r="L18" s="35" t="str">
        <x:v>Clear</x:v>
      </x:c>
    </x:row>
    <x:row r="19">
      <x:c r="A19" s="145" t="str">
        <x:v>DR-0016</x:v>
      </x:c>
      <x:c r="B19" s="88" t="n">
        <x:v>46143</x:v>
      </x:c>
      <x:c r="C19" s="87" t="str">
        <x:v>W-005</x:v>
      </x:c>
      <x:c r="D19" s="89" t="n">
        <x:v>6</x:v>
      </x:c>
      <x:c r="E19" s="89" t="n">
        <x:v>50.9</x:v>
      </x:c>
      <x:c r="F19" s="89" t="n">
        <x:v>36.22</x:v>
      </x:c>
      <x:c r="G19" s="87" t="str">
        <x:v>m2</x:v>
      </x:c>
      <x:c r="H19" s="87" t="str">
        <x:v>Normal</x:v>
      </x:c>
      <x:c r="I19" s="87" t="str"/>
      <x:c r="J19" s="87" t="str">
        <x:v>No</x:v>
      </x:c>
      <x:c r="K19" s="87" t="str">
        <x:v>Гипсэн хавтан ханын каркас угсрах: өдөрт төлөвлөсөн хэмжээнээс -8% зөрүүтэй гүйцэтгэл.</x:v>
      </x:c>
      <x:c r="L19" s="35" t="str">
        <x:v>Windy</x:v>
      </x:c>
    </x:row>
    <x:row r="20">
      <x:c r="A20" s="145" t="str">
        <x:v>DR-0017</x:v>
      </x:c>
      <x:c r="B20" s="88" t="n">
        <x:v>46143</x:v>
      </x:c>
      <x:c r="C20" s="87" t="str">
        <x:v>W-006</x:v>
      </x:c>
      <x:c r="D20" s="89" t="n">
        <x:v>7</x:v>
      </x:c>
      <x:c r="E20" s="89" t="n">
        <x:v>61.9</x:v>
      </x:c>
      <x:c r="F20" s="89" t="n">
        <x:v>137.06</x:v>
      </x:c>
      <x:c r="G20" s="87" t="str">
        <x:v>m</x:v>
      </x:c>
      <x:c r="H20" s="87" t="str">
        <x:v>Normal</x:v>
      </x:c>
      <x:c r="I20" s="87" t="str"/>
      <x:c r="J20" s="87" t="str">
        <x:v>No</x:v>
      </x:c>
      <x:c r="K20" s="87" t="str">
        <x:v>Цахилгааны кабель татах: өдөрт төлөвлөсөн хэмжээнээс 6% зөрүүтэй гүйцэтгэл.</x:v>
      </x:c>
      <x:c r="L20" s="35" t="str">
        <x:v>Windy</x:v>
      </x:c>
    </x:row>
    <x:row r="21">
      <x:c r="A21" s="145" t="str">
        <x:v>DR-0018</x:v>
      </x:c>
      <x:c r="B21" s="88" t="n">
        <x:v>46143</x:v>
      </x:c>
      <x:c r="C21" s="87" t="str">
        <x:v>W-007</x:v>
      </x:c>
      <x:c r="D21" s="89" t="n">
        <x:v>4</x:v>
      </x:c>
      <x:c r="E21" s="89" t="n">
        <x:v>40</x:v>
      </x:c>
      <x:c r="F21" s="89" t="n">
        <x:v>23.88</x:v>
      </x:c>
      <x:c r="G21" s="87" t="str">
        <x:v>m</x:v>
      </x:c>
      <x:c r="H21" s="87" t="str">
        <x:v>Normal</x:v>
      </x:c>
      <x:c r="I21" s="87" t="str"/>
      <x:c r="J21" s="87" t="str">
        <x:v>No</x:v>
      </x:c>
      <x:c r="K21" s="87" t="str">
        <x:v>Сантехникийн шугам шинэчлэх: өдөрт төлөвлөсөн хэмжээнээс -10% зөрүүтэй гүйцэтгэл.</x:v>
      </x:c>
      <x:c r="L21" s="35" t="str">
        <x:v>Windy</x:v>
      </x:c>
    </x:row>
    <x:row r="22">
      <x:c r="A22" s="145" t="str">
        <x:v>DR-0019</x:v>
      </x:c>
      <x:c r="B22" s="88" t="n">
        <x:v>46144</x:v>
      </x:c>
      <x:c r="C22" s="87" t="str">
        <x:v>W-006</x:v>
      </x:c>
      <x:c r="D22" s="89" t="n">
        <x:v>4</x:v>
      </x:c>
      <x:c r="E22" s="89" t="n">
        <x:v>37.9</x:v>
      </x:c>
      <x:c r="F22" s="89" t="n">
        <x:v>129.96</x:v>
      </x:c>
      <x:c r="G22" s="87" t="str">
        <x:v>m</x:v>
      </x:c>
      <x:c r="H22" s="87" t="str">
        <x:v>Normal</x:v>
      </x:c>
      <x:c r="I22" s="87" t="str"/>
      <x:c r="J22" s="87" t="str">
        <x:v>No</x:v>
      </x:c>
      <x:c r="K22" s="87" t="str">
        <x:v>Цахилгааны кабель татах: өдөрт төлөвлөсөн хэмжээнээс 0% зөрүүтэй гүйцэтгэл.</x:v>
      </x:c>
      <x:c r="L22" s="35" t="str">
        <x:v>Clear</x:v>
      </x:c>
    </x:row>
    <x:row r="23">
      <x:c r="A23" s="145" t="str">
        <x:v>DR-0020</x:v>
      </x:c>
      <x:c r="B23" s="88" t="n">
        <x:v>46144</x:v>
      </x:c>
      <x:c r="C23" s="87" t="str">
        <x:v>W-007</x:v>
      </x:c>
      <x:c r="D23" s="89" t="n">
        <x:v>6</x:v>
      </x:c>
      <x:c r="E23" s="89" t="n">
        <x:v>52.9</x:v>
      </x:c>
      <x:c r="F23" s="89" t="n">
        <x:v>23.67</x:v>
      </x:c>
      <x:c r="G23" s="87" t="str">
        <x:v>m</x:v>
      </x:c>
      <x:c r="H23" s="87" t="str">
        <x:v>Delayed</x:v>
      </x:c>
      <x:c r="I23" s="87" t="str">
        <x:v>ISS-003</x:v>
      </x:c>
      <x:c r="J23" s="87" t="str">
        <x:v>No</x:v>
      </x:c>
      <x:c r="K23" s="87" t="str">
        <x:v>Сантехникийн шугам шинэчлэх: өдөрт төлөвлөсөн хэмжээнээс 15% зөрүүтэй гүйцэтгэл.</x:v>
      </x:c>
      <x:c r="L23" s="35" t="str">
        <x:v>Clear</x:v>
      </x:c>
    </x:row>
    <x:row r="24">
      <x:c r="A24" s="145" t="str">
        <x:v>DR-0021</x:v>
      </x:c>
      <x:c r="B24" s="88" t="n">
        <x:v>46144</x:v>
      </x:c>
      <x:c r="C24" s="87" t="str">
        <x:v>W-005</x:v>
      </x:c>
      <x:c r="D24" s="89" t="n">
        <x:v>8</x:v>
      </x:c>
      <x:c r="E24" s="89" t="n">
        <x:v>74.4</x:v>
      </x:c>
      <x:c r="F24" s="89" t="n">
        <x:v>51.08</x:v>
      </x:c>
      <x:c r="G24" s="87" t="str">
        <x:v>m2</x:v>
      </x:c>
      <x:c r="H24" s="87" t="str">
        <x:v>Delayed</x:v>
      </x:c>
      <x:c r="I24" s="87" t="str">
        <x:v>ISS-003</x:v>
      </x:c>
      <x:c r="J24" s="87" t="str">
        <x:v>No</x:v>
      </x:c>
      <x:c r="K24" s="87" t="str">
        <x:v>Гипсэн хавтан ханын каркас угсрах: өдөрт төлөвлөсөн хэмжээнээс 12% зөрүүтэй гүйцэтгэл.</x:v>
      </x:c>
      <x:c r="L24" s="35" t="str">
        <x:v>Clear</x:v>
      </x:c>
    </x:row>
    <x:row r="25">
      <x:c r="A25" s="145" t="str">
        <x:v>DR-0022</x:v>
      </x:c>
      <x:c r="B25" s="88" t="n">
        <x:v>46145</x:v>
      </x:c>
      <x:c r="C25" s="87" t="str">
        <x:v>W-005</x:v>
      </x:c>
      <x:c r="D25" s="89" t="n">
        <x:v>6</x:v>
      </x:c>
      <x:c r="E25" s="89" t="n">
        <x:v>47.4</x:v>
      </x:c>
      <x:c r="F25" s="89" t="n">
        <x:v>34.16</x:v>
      </x:c>
      <x:c r="G25" s="87" t="str">
        <x:v>m2</x:v>
      </x:c>
      <x:c r="H25" s="87" t="str">
        <x:v>Normal</x:v>
      </x:c>
      <x:c r="I25" s="87" t="str"/>
      <x:c r="J25" s="87" t="str">
        <x:v>No</x:v>
      </x:c>
      <x:c r="K25" s="87" t="str">
        <x:v>Гипсэн хавтан ханын каркас угсрах: өдөрт төлөвлөсөн хэмжээнээс 16% зөрүүтэй гүйцэтгэл.</x:v>
      </x:c>
      <x:c r="L25" s="35" t="str">
        <x:v>Cloudy</x:v>
      </x:c>
    </x:row>
    <x:row r="26">
      <x:c r="A26" s="145" t="str">
        <x:v>DR-0023</x:v>
      </x:c>
      <x:c r="B26" s="88" t="n">
        <x:v>46145</x:v>
      </x:c>
      <x:c r="C26" s="87" t="str">
        <x:v>W-007</x:v>
      </x:c>
      <x:c r="D26" s="89" t="n">
        <x:v>7</x:v>
      </x:c>
      <x:c r="E26" s="89" t="n">
        <x:v>65.8</x:v>
      </x:c>
      <x:c r="F26" s="89" t="n">
        <x:v>27.78</x:v>
      </x:c>
      <x:c r="G26" s="87" t="str">
        <x:v>m</x:v>
      </x:c>
      <x:c r="H26" s="87" t="str">
        <x:v>Delayed</x:v>
      </x:c>
      <x:c r="I26" s="87" t="str">
        <x:v>ISS-003</x:v>
      </x:c>
      <x:c r="J26" s="87" t="str">
        <x:v>No</x:v>
      </x:c>
      <x:c r="K26" s="87" t="str">
        <x:v>Сантехникийн шугам шинэчлэх: өдөрт төлөвлөсөн хэмжээнээс 17% зөрүүтэй гүйцэтгэл.</x:v>
      </x:c>
      <x:c r="L26" s="35" t="str">
        <x:v>Cloudy</x:v>
      </x:c>
    </x:row>
    <x:row r="27">
      <x:c r="A27" s="145" t="str">
        <x:v>DR-0024</x:v>
      </x:c>
      <x:c r="B27" s="88" t="n">
        <x:v>46145</x:v>
      </x:c>
      <x:c r="C27" s="87" t="str">
        <x:v>W-006</x:v>
      </x:c>
      <x:c r="D27" s="89" t="n">
        <x:v>8</x:v>
      </x:c>
      <x:c r="E27" s="89" t="n">
        <x:v>66</x:v>
      </x:c>
      <x:c r="F27" s="89" t="n">
        <x:v>126.45</x:v>
      </x:c>
      <x:c r="G27" s="87" t="str">
        <x:v>m</x:v>
      </x:c>
      <x:c r="H27" s="87" t="str">
        <x:v>Delayed</x:v>
      </x:c>
      <x:c r="I27" s="87" t="str">
        <x:v>ISS-003</x:v>
      </x:c>
      <x:c r="J27" s="87" t="str">
        <x:v>No</x:v>
      </x:c>
      <x:c r="K27" s="87" t="str">
        <x:v>Цахилгааны кабель татах: өдөрт төлөвлөсөн хэмжээнээс 7% зөрүүтэй гүйцэтгэл.</x:v>
      </x:c>
      <x:c r="L27" s="35" t="str">
        <x:v>Cloudy</x:v>
      </x:c>
    </x:row>
    <x:row r="28">
      <x:c r="A28" s="145" t="str">
        <x:v>DR-0025</x:v>
      </x:c>
      <x:c r="B28" s="88" t="n">
        <x:v>46146</x:v>
      </x:c>
      <x:c r="C28" s="87" t="str">
        <x:v>W-006</x:v>
      </x:c>
      <x:c r="D28" s="89" t="n">
        <x:v>4</x:v>
      </x:c>
      <x:c r="E28" s="89" t="n">
        <x:v>35.4</x:v>
      </x:c>
      <x:c r="F28" s="89" t="n">
        <x:v>146.68</x:v>
      </x:c>
      <x:c r="G28" s="87" t="str">
        <x:v>m</x:v>
      </x:c>
      <x:c r="H28" s="87" t="str">
        <x:v>Delayed</x:v>
      </x:c>
      <x:c r="I28" s="87" t="str">
        <x:v>ISS-003</x:v>
      </x:c>
      <x:c r="J28" s="87" t="str">
        <x:v>No</x:v>
      </x:c>
      <x:c r="K28" s="87" t="str">
        <x:v>Цахилгааны кабель татах: өдөрт төлөвлөсөн хэмжээнээс 17% зөрүүтэй гүйцэтгэл.</x:v>
      </x:c>
      <x:c r="L28" s="35" t="str">
        <x:v>Light Rain</x:v>
      </x:c>
    </x:row>
    <x:row r="29">
      <x:c r="A29" s="145" t="str">
        <x:v>DR-0026</x:v>
      </x:c>
      <x:c r="B29" s="88" t="n">
        <x:v>46146</x:v>
      </x:c>
      <x:c r="C29" s="87" t="str">
        <x:v>W-007</x:v>
      </x:c>
      <x:c r="D29" s="89" t="n">
        <x:v>5</x:v>
      </x:c>
      <x:c r="E29" s="89" t="n">
        <x:v>43.6</x:v>
      </x:c>
      <x:c r="F29" s="89" t="n">
        <x:v>19.04</x:v>
      </x:c>
      <x:c r="G29" s="87" t="str">
        <x:v>m</x:v>
      </x:c>
      <x:c r="H29" s="87" t="str">
        <x:v>Normal</x:v>
      </x:c>
      <x:c r="I29" s="87" t="str"/>
      <x:c r="J29" s="87" t="str">
        <x:v>No</x:v>
      </x:c>
      <x:c r="K29" s="87" t="str">
        <x:v>Сантехникийн шугам шинэчлэх: өдөрт төлөвлөсөн хэмжээнээс 16% зөрүүтэй гүйцэтгэл.</x:v>
      </x:c>
      <x:c r="L29" s="35" t="str">
        <x:v>Light Rain</x:v>
      </x:c>
    </x:row>
    <x:row r="30">
      <x:c r="A30" s="145" t="str">
        <x:v>DR-0027</x:v>
      </x:c>
      <x:c r="B30" s="88" t="n">
        <x:v>46146</x:v>
      </x:c>
      <x:c r="C30" s="87" t="str">
        <x:v>W-005</x:v>
      </x:c>
      <x:c r="D30" s="89" t="n">
        <x:v>9</x:v>
      </x:c>
      <x:c r="E30" s="89" t="n">
        <x:v>74.4</x:v>
      </x:c>
      <x:c r="F30" s="89" t="n">
        <x:v>51.96</x:v>
      </x:c>
      <x:c r="G30" s="87" t="str">
        <x:v>m2</x:v>
      </x:c>
      <x:c r="H30" s="87" t="str">
        <x:v>Normal</x:v>
      </x:c>
      <x:c r="I30" s="87" t="str"/>
      <x:c r="J30" s="87" t="str">
        <x:v>No</x:v>
      </x:c>
      <x:c r="K30" s="87" t="str">
        <x:v>Гипсэн хавтан ханын каркас угсрах: өдөрт төлөвлөсөн хэмжээнээс 6% зөрүүтэй гүйцэтгэл.</x:v>
      </x:c>
      <x:c r="L30" s="35" t="str">
        <x:v>Light Rain</x:v>
      </x:c>
    </x:row>
    <x:row r="31">
      <x:c r="A31" s="145" t="str">
        <x:v>DR-0028</x:v>
      </x:c>
      <x:c r="B31" s="88" t="n">
        <x:v>46147</x:v>
      </x:c>
      <x:c r="C31" s="87" t="str">
        <x:v>W-006</x:v>
      </x:c>
      <x:c r="D31" s="89" t="n">
        <x:v>9</x:v>
      </x:c>
      <x:c r="E31" s="89" t="n">
        <x:v>69.1</x:v>
      </x:c>
      <x:c r="F31" s="89" t="n">
        <x:v>173.76</x:v>
      </x:c>
      <x:c r="G31" s="87" t="str">
        <x:v>m</x:v>
      </x:c>
      <x:c r="H31" s="87" t="str">
        <x:v>Delayed</x:v>
      </x:c>
      <x:c r="I31" s="87" t="str">
        <x:v>ISS-003</x:v>
      </x:c>
      <x:c r="J31" s="87" t="str">
        <x:v>No</x:v>
      </x:c>
      <x:c r="K31" s="87" t="str">
        <x:v>Цахилгааны кабель татах: өдөрт төлөвлөсөн хэмжээнээс 12% зөрүүтэй гүйцэтгэл.</x:v>
      </x:c>
      <x:c r="L31" s="35" t="str">
        <x:v>Clear</x:v>
      </x:c>
    </x:row>
    <x:row r="32">
      <x:c r="A32" s="145" t="str">
        <x:v>DR-0029</x:v>
      </x:c>
      <x:c r="B32" s="88" t="n">
        <x:v>46147</x:v>
      </x:c>
      <x:c r="C32" s="87" t="str">
        <x:v>W-007</x:v>
      </x:c>
      <x:c r="D32" s="89" t="n">
        <x:v>8</x:v>
      </x:c>
      <x:c r="E32" s="89" t="n">
        <x:v>69.5</x:v>
      </x:c>
      <x:c r="F32" s="89" t="n">
        <x:v>20.56</x:v>
      </x:c>
      <x:c r="G32" s="87" t="str">
        <x:v>m</x:v>
      </x:c>
      <x:c r="H32" s="87" t="str">
        <x:v>Delayed</x:v>
      </x:c>
      <x:c r="I32" s="87" t="str">
        <x:v>ISS-003</x:v>
      </x:c>
      <x:c r="J32" s="87" t="str">
        <x:v>No</x:v>
      </x:c>
      <x:c r="K32" s="87" t="str">
        <x:v>Сантехникийн шугам шинэчлэх: өдөрт төлөвлөсөн хэмжээнээс -7% зөрүүтэй гүйцэтгэл.</x:v>
      </x:c>
      <x:c r="L32" s="35" t="str">
        <x:v>Clear</x:v>
      </x:c>
    </x:row>
    <x:row r="33">
      <x:c r="A33" s="145" t="str">
        <x:v>DR-0030</x:v>
      </x:c>
      <x:c r="B33" s="88" t="n">
        <x:v>46147</x:v>
      </x:c>
      <x:c r="C33" s="87" t="str">
        <x:v>W-005</x:v>
      </x:c>
      <x:c r="D33" s="89" t="n">
        <x:v>9</x:v>
      </x:c>
      <x:c r="E33" s="89" t="n">
        <x:v>81.1</x:v>
      </x:c>
      <x:c r="F33" s="89" t="n">
        <x:v>37.29</x:v>
      </x:c>
      <x:c r="G33" s="87" t="str">
        <x:v>m2</x:v>
      </x:c>
      <x:c r="H33" s="87" t="str">
        <x:v>Delayed</x:v>
      </x:c>
      <x:c r="I33" s="87" t="str">
        <x:v>ISS-001</x:v>
      </x:c>
      <x:c r="J33" s="87" t="str">
        <x:v>No</x:v>
      </x:c>
      <x:c r="K33" s="87" t="str">
        <x:v>Гипсэн хавтан ханын каркас угсрах: өдөрт төлөвлөсөн хэмжээнээс 17% зөрүүтэй гүйцэтгэл.</x:v>
      </x:c>
      <x:c r="L33" s="35" t="str">
        <x:v>Clear</x:v>
      </x:c>
    </x:row>
    <x:row r="34">
      <x:c r="A34" s="145" t="str">
        <x:v>DR-0031</x:v>
      </x:c>
      <x:c r="B34" s="88" t="n">
        <x:v>46148</x:v>
      </x:c>
      <x:c r="C34" s="87" t="str">
        <x:v>W-006</x:v>
      </x:c>
      <x:c r="D34" s="89" t="n">
        <x:v>6</x:v>
      </x:c>
      <x:c r="E34" s="89" t="n">
        <x:v>59.9</x:v>
      </x:c>
      <x:c r="F34" s="89" t="n">
        <x:v>172.33</x:v>
      </x:c>
      <x:c r="G34" s="87" t="str">
        <x:v>m</x:v>
      </x:c>
      <x:c r="H34" s="87" t="str">
        <x:v>Delayed</x:v>
      </x:c>
      <x:c r="I34" s="87" t="str">
        <x:v>ISS-002</x:v>
      </x:c>
      <x:c r="J34" s="87" t="str">
        <x:v>No</x:v>
      </x:c>
      <x:c r="K34" s="87" t="str">
        <x:v>Цахилгааны кабель татах: өдөрт төлөвлөсөн хэмжээнээс 2% зөрүүтэй гүйцэтгэл.</x:v>
      </x:c>
      <x:c r="L34" s="35" t="str">
        <x:v>Windy</x:v>
      </x:c>
    </x:row>
    <x:row r="35">
      <x:c r="A35" s="145" t="str">
        <x:v>DR-0032</x:v>
      </x:c>
      <x:c r="B35" s="88" t="n">
        <x:v>46148</x:v>
      </x:c>
      <x:c r="C35" s="87" t="str">
        <x:v>W-005</x:v>
      </x:c>
      <x:c r="D35" s="89" t="n">
        <x:v>6</x:v>
      </x:c>
      <x:c r="E35" s="89" t="n">
        <x:v>46.8</x:v>
      </x:c>
      <x:c r="F35" s="89" t="n">
        <x:v>50.21</x:v>
      </x:c>
      <x:c r="G35" s="87" t="str">
        <x:v>m2</x:v>
      </x:c>
      <x:c r="H35" s="87" t="str">
        <x:v>Delayed</x:v>
      </x:c>
      <x:c r="I35" s="87" t="str">
        <x:v>ISS-001</x:v>
      </x:c>
      <x:c r="J35" s="87" t="str">
        <x:v>No</x:v>
      </x:c>
      <x:c r="K35" s="87" t="str">
        <x:v>Гипсэн хавтан ханын каркас угсрах: өдөрт төлөвлөсөн хэмжээнээс -10% зөрүүтэй гүйцэтгэл.</x:v>
      </x:c>
      <x:c r="L35" s="35" t="str">
        <x:v>Windy</x:v>
      </x:c>
    </x:row>
    <x:row r="36">
      <x:c r="A36" s="145" t="str">
        <x:v>DR-0033</x:v>
      </x:c>
      <x:c r="B36" s="88" t="n">
        <x:v>46148</x:v>
      </x:c>
      <x:c r="C36" s="87" t="str">
        <x:v>W-007</x:v>
      </x:c>
      <x:c r="D36" s="89" t="n">
        <x:v>7</x:v>
      </x:c>
      <x:c r="E36" s="89" t="n">
        <x:v>62.2</x:v>
      </x:c>
      <x:c r="F36" s="89" t="n">
        <x:v>23.14</x:v>
      </x:c>
      <x:c r="G36" s="87" t="str">
        <x:v>m</x:v>
      </x:c>
      <x:c r="H36" s="87" t="str">
        <x:v>Normal</x:v>
      </x:c>
      <x:c r="I36" s="87" t="str"/>
      <x:c r="J36" s="87" t="str">
        <x:v>No</x:v>
      </x:c>
      <x:c r="K36" s="87" t="str">
        <x:v>Сантехникийн шугам шинэчлэх: өдөрт төлөвлөсөн хэмжээнээс -10% зөрүүтэй гүйцэтгэл.</x:v>
      </x:c>
      <x:c r="L36" s="35" t="str">
        <x:v>Windy</x:v>
      </x:c>
    </x:row>
    <x:row r="37">
      <x:c r="A37" s="145" t="str">
        <x:v>DR-0034</x:v>
      </x:c>
      <x:c r="B37" s="88" t="n">
        <x:v>46149</x:v>
      </x:c>
      <x:c r="C37" s="87" t="str">
        <x:v>W-007</x:v>
      </x:c>
      <x:c r="D37" s="89" t="n">
        <x:v>3</x:v>
      </x:c>
      <x:c r="E37" s="89" t="n">
        <x:v>28.9</x:v>
      </x:c>
      <x:c r="F37" s="89" t="n">
        <x:v>21.81</x:v>
      </x:c>
      <x:c r="G37" s="87" t="str">
        <x:v>m</x:v>
      </x:c>
      <x:c r="H37" s="87" t="str">
        <x:v>Normal</x:v>
      </x:c>
      <x:c r="I37" s="87" t="str"/>
      <x:c r="J37" s="87" t="str">
        <x:v>No</x:v>
      </x:c>
      <x:c r="K37" s="87" t="str">
        <x:v>Сантехникийн шугам шинэчлэх: өдөрт төлөвлөсөн хэмжээнээс -4% зөрүүтэй гүйцэтгэл.</x:v>
      </x:c>
      <x:c r="L37" s="35" t="str">
        <x:v>Clear</x:v>
      </x:c>
    </x:row>
    <x:row r="38">
      <x:c r="A38" s="145" t="str">
        <x:v>DR-0035</x:v>
      </x:c>
      <x:c r="B38" s="88" t="n">
        <x:v>46149</x:v>
      </x:c>
      <x:c r="C38" s="87" t="str">
        <x:v>W-006</x:v>
      </x:c>
      <x:c r="D38" s="89" t="n">
        <x:v>4</x:v>
      </x:c>
      <x:c r="E38" s="89" t="n">
        <x:v>35.4</x:v>
      </x:c>
      <x:c r="F38" s="89" t="n">
        <x:v>169</x:v>
      </x:c>
      <x:c r="G38" s="87" t="str">
        <x:v>m</x:v>
      </x:c>
      <x:c r="H38" s="87" t="str">
        <x:v>Normal</x:v>
      </x:c>
      <x:c r="I38" s="87" t="str"/>
      <x:c r="J38" s="87" t="str">
        <x:v>No</x:v>
      </x:c>
      <x:c r="K38" s="87" t="str">
        <x:v>Цахилгааны кабель татах: өдөрт төлөвлөсөн хэмжээнээс -5% зөрүүтэй гүйцэтгэл.</x:v>
      </x:c>
      <x:c r="L38" s="35" t="str">
        <x:v>Clear</x:v>
      </x:c>
    </x:row>
    <x:row r="39">
      <x:c r="A39" s="145" t="str">
        <x:v>DR-0036</x:v>
      </x:c>
      <x:c r="B39" s="88" t="n">
        <x:v>46149</x:v>
      </x:c>
      <x:c r="C39" s="87" t="str">
        <x:v>W-008</x:v>
      </x:c>
      <x:c r="D39" s="89" t="n">
        <x:v>9</x:v>
      </x:c>
      <x:c r="E39" s="89" t="n">
        <x:v>76.7</x:v>
      </x:c>
      <x:c r="F39" s="89" t="n">
        <x:v>41.89</x:v>
      </x:c>
      <x:c r="G39" s="87" t="str">
        <x:v>m2</x:v>
      </x:c>
      <x:c r="H39" s="87" t="str">
        <x:v>Normal</x:v>
      </x:c>
      <x:c r="I39" s="87" t="str"/>
      <x:c r="J39" s="87" t="str">
        <x:v>No</x:v>
      </x:c>
      <x:c r="K39" s="87" t="str">
        <x:v>Гипсэн хавтан хаалт, дуу тусгаарлалт: өдөрт төлөвлөсөн хэмжээнээс 1% зөрүүтэй гүйцэтгэл.</x:v>
      </x:c>
      <x:c r="L39" s="35" t="str">
        <x:v>Clear</x:v>
      </x:c>
    </x:row>
    <x:row r="40">
      <x:c r="A40" s="145" t="str">
        <x:v>DR-0037</x:v>
      </x:c>
      <x:c r="B40" s="88" t="n">
        <x:v>46150</x:v>
      </x:c>
      <x:c r="C40" s="87" t="str">
        <x:v>W-006</x:v>
      </x:c>
      <x:c r="D40" s="89" t="n">
        <x:v>6</x:v>
      </x:c>
      <x:c r="E40" s="89" t="n">
        <x:v>58</x:v>
      </x:c>
      <x:c r="F40" s="89" t="n">
        <x:v>150.44</x:v>
      </x:c>
      <x:c r="G40" s="87" t="str">
        <x:v>m</x:v>
      </x:c>
      <x:c r="H40" s="87" t="str">
        <x:v>Normal</x:v>
      </x:c>
      <x:c r="I40" s="87" t="str"/>
      <x:c r="J40" s="87" t="str">
        <x:v>No</x:v>
      </x:c>
      <x:c r="K40" s="87" t="str">
        <x:v>Цахилгааны кабель татах: өдөрт төлөвлөсөн хэмжээнээс 8% зөрүүтэй гүйцэтгэл.</x:v>
      </x:c>
      <x:c r="L40" s="35" t="str">
        <x:v>Cloudy</x:v>
      </x:c>
    </x:row>
    <x:row r="41">
      <x:c r="A41" s="145" t="str">
        <x:v>DR-0038</x:v>
      </x:c>
      <x:c r="B41" s="88" t="n">
        <x:v>46150</x:v>
      </x:c>
      <x:c r="C41" s="87" t="str">
        <x:v>W-008</x:v>
      </x:c>
      <x:c r="D41" s="89" t="n">
        <x:v>6</x:v>
      </x:c>
      <x:c r="E41" s="89" t="n">
        <x:v>55.9</x:v>
      </x:c>
      <x:c r="F41" s="89" t="n">
        <x:v>29.65</x:v>
      </x:c>
      <x:c r="G41" s="87" t="str">
        <x:v>m2</x:v>
      </x:c>
      <x:c r="H41" s="87" t="str">
        <x:v>Normal</x:v>
      </x:c>
      <x:c r="I41" s="87" t="str"/>
      <x:c r="J41" s="87" t="str">
        <x:v>No</x:v>
      </x:c>
      <x:c r="K41" s="87" t="str">
        <x:v>Гипсэн хавтан хаалт, дуу тусгаарлалт: өдөрт төлөвлөсөн хэмжээнээс -6% зөрүүтэй гүйцэтгэл.</x:v>
      </x:c>
      <x:c r="L41" s="35" t="str">
        <x:v>Cloudy</x:v>
      </x:c>
    </x:row>
    <x:row r="42">
      <x:c r="A42" s="145" t="str">
        <x:v>DR-0039</x:v>
      </x:c>
      <x:c r="B42" s="88" t="n">
        <x:v>46151</x:v>
      </x:c>
      <x:c r="C42" s="87" t="str">
        <x:v>W-008</x:v>
      </x:c>
      <x:c r="D42" s="89" t="n">
        <x:v>4</x:v>
      </x:c>
      <x:c r="E42" s="89" t="n">
        <x:v>32.8</x:v>
      </x:c>
      <x:c r="F42" s="89" t="n">
        <x:v>30.4</x:v>
      </x:c>
      <x:c r="G42" s="87" t="str">
        <x:v>m2</x:v>
      </x:c>
      <x:c r="H42" s="87" t="str">
        <x:v>Delayed</x:v>
      </x:c>
      <x:c r="I42" s="87" t="str">
        <x:v>ISS-001</x:v>
      </x:c>
      <x:c r="J42" s="87" t="str">
        <x:v>No</x:v>
      </x:c>
      <x:c r="K42" s="87" t="str">
        <x:v>Гипсэн хавтан хаалт, дуу тусгаарлалт: өдөрт төлөвлөсөн хэмжээнээс 15% зөрүүтэй гүйцэтгэл.</x:v>
      </x:c>
      <x:c r="L42" s="35" t="str">
        <x:v>Light Rain</x:v>
      </x:c>
    </x:row>
    <x:row r="43">
      <x:c r="A43" s="145" t="str">
        <x:v>DR-0040</x:v>
      </x:c>
      <x:c r="B43" s="88" t="n">
        <x:v>46151</x:v>
      </x:c>
      <x:c r="C43" s="87" t="str">
        <x:v>W-009</x:v>
      </x:c>
      <x:c r="D43" s="89" t="n">
        <x:v>6</x:v>
      </x:c>
      <x:c r="E43" s="89" t="n">
        <x:v>57.1</x:v>
      </x:c>
      <x:c r="F43" s="89" t="n">
        <x:v>85.04</x:v>
      </x:c>
      <x:c r="G43" s="87" t="str">
        <x:v>m2</x:v>
      </x:c>
      <x:c r="H43" s="87" t="str">
        <x:v>Delayed</x:v>
      </x:c>
      <x:c r="I43" s="87" t="str">
        <x:v>ISS-003</x:v>
      </x:c>
      <x:c r="J43" s="87" t="str">
        <x:v>No</x:v>
      </x:c>
      <x:c r="K43" s="87" t="str">
        <x:v>Дүүжин таазны каркас: өдөрт төлөвлөсөн хэмжээнээс -9% зөрүүтэй гүйцэтгэл.</x:v>
      </x:c>
      <x:c r="L43" s="35" t="str">
        <x:v>Light Rain</x:v>
      </x:c>
    </x:row>
    <x:row r="44">
      <x:c r="A44" s="145" t="str">
        <x:v>DR-0041</x:v>
      </x:c>
      <x:c r="B44" s="88" t="n">
        <x:v>46152</x:v>
      </x:c>
      <x:c r="C44" s="87" t="str">
        <x:v>W-009</x:v>
      </x:c>
      <x:c r="D44" s="89" t="n">
        <x:v>7</x:v>
      </x:c>
      <x:c r="E44" s="89" t="n">
        <x:v>67.1</x:v>
      </x:c>
      <x:c r="F44" s="89" t="n">
        <x:v>75.77</x:v>
      </x:c>
      <x:c r="G44" s="87" t="str">
        <x:v>m2</x:v>
      </x:c>
      <x:c r="H44" s="87" t="str">
        <x:v>Normal</x:v>
      </x:c>
      <x:c r="I44" s="87" t="str"/>
      <x:c r="J44" s="87" t="str">
        <x:v>No</x:v>
      </x:c>
      <x:c r="K44" s="87" t="str">
        <x:v>Дүүжин таазны каркас: өдөрт төлөвлөсөн хэмжээнээс 15% зөрүүтэй гүйцэтгэл.</x:v>
      </x:c>
      <x:c r="L44" s="35" t="str">
        <x:v>Clear</x:v>
      </x:c>
    </x:row>
    <x:row r="45">
      <x:c r="A45" s="145" t="str">
        <x:v>DR-0042</x:v>
      </x:c>
      <x:c r="B45" s="88" t="n">
        <x:v>46152</x:v>
      </x:c>
      <x:c r="C45" s="87" t="str">
        <x:v>W-008</x:v>
      </x:c>
      <x:c r="D45" s="89" t="n">
        <x:v>6</x:v>
      </x:c>
      <x:c r="E45" s="89" t="n">
        <x:v>52.3</x:v>
      </x:c>
      <x:c r="F45" s="89" t="n">
        <x:v>32.11</x:v>
      </x:c>
      <x:c r="G45" s="87" t="str">
        <x:v>m2</x:v>
      </x:c>
      <x:c r="H45" s="87" t="str">
        <x:v>Delayed</x:v>
      </x:c>
      <x:c r="I45" s="87" t="str">
        <x:v>ISS-001</x:v>
      </x:c>
      <x:c r="J45" s="87" t="str">
        <x:v>No</x:v>
      </x:c>
      <x:c r="K45" s="87" t="str">
        <x:v>Гипсэн хавтан хаалт, дуу тусгаарлалт: өдөрт төлөвлөсөн хэмжээнээс 15% зөрүүтэй гүйцэтгэл.</x:v>
      </x:c>
      <x:c r="L45" s="35" t="str">
        <x:v>Clear</x:v>
      </x:c>
    </x:row>
    <x:row r="46">
      <x:c r="A46" s="145" t="str">
        <x:v>DR-0043</x:v>
      </x:c>
      <x:c r="B46" s="88" t="n">
        <x:v>46153</x:v>
      </x:c>
      <x:c r="C46" s="87" t="str">
        <x:v>W-008</x:v>
      </x:c>
      <x:c r="D46" s="89" t="n">
        <x:v>4</x:v>
      </x:c>
      <x:c r="E46" s="89" t="n">
        <x:v>33.8</x:v>
      </x:c>
      <x:c r="F46" s="89" t="n">
        <x:v>43.99</x:v>
      </x:c>
      <x:c r="G46" s="87" t="str">
        <x:v>m2</x:v>
      </x:c>
      <x:c r="H46" s="87" t="str">
        <x:v>Normal</x:v>
      </x:c>
      <x:c r="I46" s="87" t="str"/>
      <x:c r="J46" s="87" t="str">
        <x:v>No</x:v>
      </x:c>
      <x:c r="K46" s="87" t="str">
        <x:v>Гипсэн хавтан хаалт, дуу тусгаарлалт: өдөрт төлөвлөсөн хэмжээнээс 13% зөрүүтэй гүйцэтгэл.</x:v>
      </x:c>
      <x:c r="L46" s="35" t="str">
        <x:v>Windy</x:v>
      </x:c>
    </x:row>
    <x:row r="47">
      <x:c r="A47" s="145" t="str">
        <x:v>DR-0044</x:v>
      </x:c>
      <x:c r="B47" s="88" t="n">
        <x:v>46153</x:v>
      </x:c>
      <x:c r="C47" s="87" t="str">
        <x:v>W-009</x:v>
      </x:c>
      <x:c r="D47" s="89" t="n">
        <x:v>5</x:v>
      </x:c>
      <x:c r="E47" s="89" t="n">
        <x:v>42.8</x:v>
      </x:c>
      <x:c r="F47" s="89" t="n">
        <x:v>80.31</x:v>
      </x:c>
      <x:c r="G47" s="87" t="str">
        <x:v>m2</x:v>
      </x:c>
      <x:c r="H47" s="87" t="str">
        <x:v>Delayed</x:v>
      </x:c>
      <x:c r="I47" s="87" t="str">
        <x:v>ISS-003</x:v>
      </x:c>
      <x:c r="J47" s="87" t="str">
        <x:v>No</x:v>
      </x:c>
      <x:c r="K47" s="87" t="str">
        <x:v>Дүүжин таазны каркас: өдөрт төлөвлөсөн хэмжээнээс 9% зөрүүтэй гүйцэтгэл.</x:v>
      </x:c>
      <x:c r="L47" s="35" t="str">
        <x:v>Windy</x:v>
      </x:c>
    </x:row>
    <x:row r="48">
      <x:c r="A48" s="145" t="str">
        <x:v>DR-0045</x:v>
      </x:c>
      <x:c r="B48" s="88" t="n">
        <x:v>46154</x:v>
      </x:c>
      <x:c r="C48" s="87" t="str">
        <x:v>W-008</x:v>
      </x:c>
      <x:c r="D48" s="89" t="n">
        <x:v>5</x:v>
      </x:c>
      <x:c r="E48" s="89" t="n">
        <x:v>40.2</x:v>
      </x:c>
      <x:c r="F48" s="89" t="n">
        <x:v>30.66</x:v>
      </x:c>
      <x:c r="G48" s="87" t="str">
        <x:v>m2</x:v>
      </x:c>
      <x:c r="H48" s="87" t="str">
        <x:v>Normal</x:v>
      </x:c>
      <x:c r="I48" s="87" t="str"/>
      <x:c r="J48" s="87" t="str">
        <x:v>No</x:v>
      </x:c>
      <x:c r="K48" s="87" t="str">
        <x:v>Гипсэн хавтан хаалт, дуу тусгаарлалт: өдөрт төлөвлөсөн хэмжээнээс 5% зөрүүтэй гүйцэтгэл.</x:v>
      </x:c>
      <x:c r="L48" s="35" t="str">
        <x:v>Clear</x:v>
      </x:c>
    </x:row>
    <x:row r="49">
      <x:c r="A49" s="145" t="str">
        <x:v>DR-0046</x:v>
      </x:c>
      <x:c r="B49" s="88" t="n">
        <x:v>46154</x:v>
      </x:c>
      <x:c r="C49" s="87" t="str">
        <x:v>W-009</x:v>
      </x:c>
      <x:c r="D49" s="89" t="n">
        <x:v>5</x:v>
      </x:c>
      <x:c r="E49" s="89" t="n">
        <x:v>38.2</x:v>
      </x:c>
      <x:c r="F49" s="89" t="n">
        <x:v>55.57</x:v>
      </x:c>
      <x:c r="G49" s="87" t="str">
        <x:v>m2</x:v>
      </x:c>
      <x:c r="H49" s="87" t="str">
        <x:v>Normal</x:v>
      </x:c>
      <x:c r="I49" s="87" t="str"/>
      <x:c r="J49" s="87" t="str">
        <x:v>No</x:v>
      </x:c>
      <x:c r="K49" s="87" t="str">
        <x:v>Дүүжин таазны каркас: өдөрт төлөвлөсөн хэмжээнээс 17% зөрүүтэй гүйцэтгэл.</x:v>
      </x:c>
      <x:c r="L49" s="35" t="str">
        <x:v>Clear</x:v>
      </x:c>
    </x:row>
    <x:row r="50">
      <x:c r="A50" s="145" t="str">
        <x:v>DR-0047</x:v>
      </x:c>
      <x:c r="B50" s="88" t="n">
        <x:v>46155</x:v>
      </x:c>
      <x:c r="C50" s="87" t="str">
        <x:v>W-009</x:v>
      </x:c>
      <x:c r="D50" s="89" t="n">
        <x:v>7</x:v>
      </x:c>
      <x:c r="E50" s="89" t="n">
        <x:v>53.9</x:v>
      </x:c>
      <x:c r="F50" s="89" t="n">
        <x:v>55.43</x:v>
      </x:c>
      <x:c r="G50" s="87" t="str">
        <x:v>m2</x:v>
      </x:c>
      <x:c r="H50" s="87" t="str">
        <x:v>Recovered</x:v>
      </x:c>
      <x:c r="I50" s="87" t="str"/>
      <x:c r="J50" s="87" t="str">
        <x:v>No</x:v>
      </x:c>
      <x:c r="K50" s="87" t="str">
        <x:v>Дүүжин таазны каркас: өдөрт төлөвлөсөн хэмжээнээс -10% зөрүүтэй гүйцэтгэл.</x:v>
      </x:c>
      <x:c r="L50" s="35" t="str">
        <x:v>Cloudy</x:v>
      </x:c>
    </x:row>
    <x:row r="51">
      <x:c r="A51" s="145" t="str">
        <x:v>DR-0048</x:v>
      </x:c>
      <x:c r="B51" s="88" t="n">
        <x:v>46155</x:v>
      </x:c>
      <x:c r="C51" s="87" t="str">
        <x:v>W-008</x:v>
      </x:c>
      <x:c r="D51" s="89" t="n">
        <x:v>4</x:v>
      </x:c>
      <x:c r="E51" s="89" t="n">
        <x:v>34</x:v>
      </x:c>
      <x:c r="F51" s="89" t="n">
        <x:v>39.94</x:v>
      </x:c>
      <x:c r="G51" s="87" t="str">
        <x:v>m2</x:v>
      </x:c>
      <x:c r="H51" s="87" t="str">
        <x:v>Normal</x:v>
      </x:c>
      <x:c r="I51" s="87" t="str"/>
      <x:c r="J51" s="87" t="str">
        <x:v>No</x:v>
      </x:c>
      <x:c r="K51" s="87" t="str">
        <x:v>Гипсэн хавтан хаалт, дуу тусгаарлалт: өдөрт төлөвлөсөн хэмжээнээс 7% зөрүүтэй гүйцэтгэл.</x:v>
      </x:c>
      <x:c r="L51" s="35" t="str">
        <x:v>Cloudy</x:v>
      </x:c>
    </x:row>
    <x:row r="52">
      <x:c r="A52" s="145" t="str">
        <x:v>DR-0049</x:v>
      </x:c>
      <x:c r="B52" s="88" t="n">
        <x:v>46155</x:v>
      </x:c>
      <x:c r="C52" s="87" t="str">
        <x:v>W-011</x:v>
      </x:c>
      <x:c r="D52" s="89" t="n">
        <x:v>3</x:v>
      </x:c>
      <x:c r="E52" s="89" t="n">
        <x:v>25.6</x:v>
      </x:c>
      <x:c r="F52" s="89" t="n">
        <x:v>76.04</x:v>
      </x:c>
      <x:c r="G52" s="87" t="str">
        <x:v>m2</x:v>
      </x:c>
      <x:c r="H52" s="87" t="str">
        <x:v>Normal</x:v>
      </x:c>
      <x:c r="I52" s="87" t="str"/>
      <x:c r="J52" s="87" t="str">
        <x:v>No</x:v>
      </x:c>
      <x:c r="K52" s="87" t="str">
        <x:v>Шалны суурь тэгшилгээ: өдөрт төлөвлөсөн хэмжээнээс -2% зөрүүтэй гүйцэтгэл.</x:v>
      </x:c>
      <x:c r="L52" s="35" t="str">
        <x:v>Cloudy</x:v>
      </x:c>
    </x:row>
    <x:row r="53">
      <x:c r="A53" s="145" t="str">
        <x:v>DR-0050</x:v>
      </x:c>
      <x:c r="B53" s="88" t="n">
        <x:v>46156</x:v>
      </x:c>
      <x:c r="C53" s="87" t="str">
        <x:v>W-011</x:v>
      </x:c>
      <x:c r="D53" s="89" t="n">
        <x:v>5</x:v>
      </x:c>
      <x:c r="E53" s="89" t="n">
        <x:v>40.5</x:v>
      </x:c>
      <x:c r="F53" s="89" t="n">
        <x:v>105.89</x:v>
      </x:c>
      <x:c r="G53" s="87" t="str">
        <x:v>m2</x:v>
      </x:c>
      <x:c r="H53" s="87" t="str">
        <x:v>Normal</x:v>
      </x:c>
      <x:c r="I53" s="87" t="str"/>
      <x:c r="J53" s="87" t="str">
        <x:v>No</x:v>
      </x:c>
      <x:c r="K53" s="87" t="str">
        <x:v>Шалны суурь тэгшилгээ: өдөрт төлөвлөсөн хэмжээнээс 8% зөрүүтэй гүйцэтгэл.</x:v>
      </x:c>
      <x:c r="L53" s="35" t="str">
        <x:v>Light Rain</x:v>
      </x:c>
    </x:row>
    <x:row r="54">
      <x:c r="A54" s="145" t="str">
        <x:v>DR-0051</x:v>
      </x:c>
      <x:c r="B54" s="88" t="n">
        <x:v>46156</x:v>
      </x:c>
      <x:c r="C54" s="87" t="str">
        <x:v>W-008</x:v>
      </x:c>
      <x:c r="D54" s="89" t="n">
        <x:v>5</x:v>
      </x:c>
      <x:c r="E54" s="89" t="n">
        <x:v>49.1</x:v>
      </x:c>
      <x:c r="F54" s="89" t="n">
        <x:v>33.25</x:v>
      </x:c>
      <x:c r="G54" s="87" t="str">
        <x:v>m2</x:v>
      </x:c>
      <x:c r="H54" s="87" t="str">
        <x:v>Recovered</x:v>
      </x:c>
      <x:c r="I54" s="87" t="str"/>
      <x:c r="J54" s="87" t="str">
        <x:v>No</x:v>
      </x:c>
      <x:c r="K54" s="87" t="str">
        <x:v>Гипсэн хавтан хаалт, дуу тусгаарлалт: өдөрт төлөвлөсөн хэмжээнээс 7% зөрүүтэй гүйцэтгэл.</x:v>
      </x:c>
      <x:c r="L54" s="35" t="str">
        <x:v>Light Rain</x:v>
      </x:c>
    </x:row>
    <x:row r="55">
      <x:c r="A55" s="145" t="str">
        <x:v>DR-0052</x:v>
      </x:c>
      <x:c r="B55" s="88" t="n">
        <x:v>46156</x:v>
      </x:c>
      <x:c r="C55" s="87" t="str">
        <x:v>W-009</x:v>
      </x:c>
      <x:c r="D55" s="89" t="n">
        <x:v>3</x:v>
      </x:c>
      <x:c r="E55" s="89" t="n">
        <x:v>23</x:v>
      </x:c>
      <x:c r="F55" s="89" t="n">
        <x:v>87.6</x:v>
      </x:c>
      <x:c r="G55" s="87" t="str">
        <x:v>m2</x:v>
      </x:c>
      <x:c r="H55" s="87" t="str">
        <x:v>Delayed</x:v>
      </x:c>
      <x:c r="I55" s="87" t="str">
        <x:v>ISS-001</x:v>
      </x:c>
      <x:c r="J55" s="87" t="str">
        <x:v>No</x:v>
      </x:c>
      <x:c r="K55" s="87" t="str">
        <x:v>Дүүжин таазны каркас: өдөрт төлөвлөсөн хэмжээнээс 4% зөрүүтэй гүйцэтгэл.</x:v>
      </x:c>
      <x:c r="L55" s="35" t="str">
        <x:v>Light Rain</x:v>
      </x:c>
    </x:row>
    <x:row r="56">
      <x:c r="A56" s="145" t="str">
        <x:v>DR-0053</x:v>
      </x:c>
      <x:c r="B56" s="88" t="n">
        <x:v>46157</x:v>
      </x:c>
      <x:c r="C56" s="87" t="str">
        <x:v>W-011</x:v>
      </x:c>
      <x:c r="D56" s="89" t="n">
        <x:v>3</x:v>
      </x:c>
      <x:c r="E56" s="89" t="n">
        <x:v>29.1</x:v>
      </x:c>
      <x:c r="F56" s="89" t="n">
        <x:v>118.38</x:v>
      </x:c>
      <x:c r="G56" s="87" t="str">
        <x:v>m2</x:v>
      </x:c>
      <x:c r="H56" s="87" t="str">
        <x:v>Delayed</x:v>
      </x:c>
      <x:c r="I56" s="87" t="str">
        <x:v>ISS-002</x:v>
      </x:c>
      <x:c r="J56" s="87" t="str">
        <x:v>No</x:v>
      </x:c>
      <x:c r="K56" s="87" t="str">
        <x:v>Шалны суурь тэгшилгээ: өдөрт төлөвлөсөн хэмжээнээс -3% зөрүүтэй гүйцэтгэл.</x:v>
      </x:c>
      <x:c r="L56" s="35" t="str">
        <x:v>Clear</x:v>
      </x:c>
    </x:row>
    <x:row r="57">
      <x:c r="A57" s="145" t="str">
        <x:v>DR-0054</x:v>
      </x:c>
      <x:c r="B57" s="88" t="n">
        <x:v>46157</x:v>
      </x:c>
      <x:c r="C57" s="87" t="str">
        <x:v>W-009</x:v>
      </x:c>
      <x:c r="D57" s="89" t="n">
        <x:v>9</x:v>
      </x:c>
      <x:c r="E57" s="89" t="n">
        <x:v>79.7</x:v>
      </x:c>
      <x:c r="F57" s="89" t="n">
        <x:v>58.88</x:v>
      </x:c>
      <x:c r="G57" s="87" t="str">
        <x:v>m2</x:v>
      </x:c>
      <x:c r="H57" s="87" t="str">
        <x:v>Normal</x:v>
      </x:c>
      <x:c r="I57" s="87" t="str"/>
      <x:c r="J57" s="87" t="str">
        <x:v>No</x:v>
      </x:c>
      <x:c r="K57" s="87" t="str">
        <x:v>Дүүжин таазны каркас: өдөрт төлөвлөсөн хэмжээнээс 13% зөрүүтэй гүйцэтгэл.</x:v>
      </x:c>
      <x:c r="L57" s="35" t="str">
        <x:v>Clear</x:v>
      </x:c>
    </x:row>
    <x:row r="58">
      <x:c r="A58" s="145" t="str">
        <x:v>DR-0055</x:v>
      </x:c>
      <x:c r="B58" s="88" t="n">
        <x:v>46157</x:v>
      </x:c>
      <x:c r="C58" s="87" t="str">
        <x:v>W-010</x:v>
      </x:c>
      <x:c r="D58" s="89" t="n">
        <x:v>3</x:v>
      </x:c>
      <x:c r="E58" s="89" t="n">
        <x:v>27.5</x:v>
      </x:c>
      <x:c r="F58" s="89" t="n">
        <x:v>126.87</x:v>
      </x:c>
      <x:c r="G58" s="87" t="str">
        <x:v>m2</x:v>
      </x:c>
      <x:c r="H58" s="87" t="str">
        <x:v>Delayed</x:v>
      </x:c>
      <x:c r="I58" s="87" t="str">
        <x:v>ISS-003</x:v>
      </x:c>
      <x:c r="J58" s="87" t="str">
        <x:v>No</x:v>
      </x:c>
      <x:c r="K58" s="87" t="str">
        <x:v>Ханын шавардлага, тэгшилгээ: өдөрт төлөвлөсөн хэмжээнээс -3% зөрүүтэй гүйцэтгэл.</x:v>
      </x:c>
      <x:c r="L58" s="35" t="str">
        <x:v>Clear</x:v>
      </x:c>
    </x:row>
    <x:row r="59">
      <x:c r="A59" s="145" t="str">
        <x:v>DR-0056</x:v>
      </x:c>
      <x:c r="B59" s="88" t="n">
        <x:v>46158</x:v>
      </x:c>
      <x:c r="C59" s="87" t="str">
        <x:v>W-011</x:v>
      </x:c>
      <x:c r="D59" s="89" t="n">
        <x:v>4</x:v>
      </x:c>
      <x:c r="E59" s="89" t="n">
        <x:v>32.6</x:v>
      </x:c>
      <x:c r="F59" s="89" t="n">
        <x:v>118.65</x:v>
      </x:c>
      <x:c r="G59" s="87" t="str">
        <x:v>m2</x:v>
      </x:c>
      <x:c r="H59" s="87" t="str">
        <x:v>Normal</x:v>
      </x:c>
      <x:c r="I59" s="87" t="str"/>
      <x:c r="J59" s="87" t="str">
        <x:v>No</x:v>
      </x:c>
      <x:c r="K59" s="87" t="str">
        <x:v>Шалны суурь тэгшилгээ: өдөрт төлөвлөсөн хэмжээнээс -8% зөрүүтэй гүйцэтгэл.</x:v>
      </x:c>
      <x:c r="L59" s="35" t="str">
        <x:v>Windy</x:v>
      </x:c>
    </x:row>
    <x:row r="60">
      <x:c r="A60" s="145" t="str">
        <x:v>DR-0057</x:v>
      </x:c>
      <x:c r="B60" s="88" t="n">
        <x:v>46158</x:v>
      </x:c>
      <x:c r="C60" s="87" t="str">
        <x:v>W-010</x:v>
      </x:c>
      <x:c r="D60" s="89" t="n">
        <x:v>7</x:v>
      </x:c>
      <x:c r="E60" s="89" t="n">
        <x:v>56.2</x:v>
      </x:c>
      <x:c r="F60" s="89" t="n">
        <x:v>105.06</x:v>
      </x:c>
      <x:c r="G60" s="87" t="str">
        <x:v>m2</x:v>
      </x:c>
      <x:c r="H60" s="87" t="str">
        <x:v>Delayed</x:v>
      </x:c>
      <x:c r="I60" s="87" t="str">
        <x:v>ISS-002</x:v>
      </x:c>
      <x:c r="J60" s="87" t="str">
        <x:v>No</x:v>
      </x:c>
      <x:c r="K60" s="87" t="str">
        <x:v>Ханын шавардлага, тэгшилгээ: өдөрт төлөвлөсөн хэмжээнээс -6% зөрүүтэй гүйцэтгэл.</x:v>
      </x:c>
      <x:c r="L60" s="35" t="str">
        <x:v>Windy</x:v>
      </x:c>
    </x:row>
    <x:row r="61">
      <x:c r="A61" s="145" t="str">
        <x:v>DR-0058</x:v>
      </x:c>
      <x:c r="B61" s="88" t="n">
        <x:v>46158</x:v>
      </x:c>
      <x:c r="C61" s="87" t="str">
        <x:v>W-013</x:v>
      </x:c>
      <x:c r="D61" s="89" t="n">
        <x:v>9</x:v>
      </x:c>
      <x:c r="E61" s="89" t="n">
        <x:v>73.4</x:v>
      </x:c>
      <x:c r="F61" s="89" t="n">
        <x:v>89.81</x:v>
      </x:c>
      <x:c r="G61" s="87" t="str">
        <x:v>m2</x:v>
      </x:c>
      <x:c r="H61" s="87" t="str">
        <x:v>Normal</x:v>
      </x:c>
      <x:c r="I61" s="87" t="str"/>
      <x:c r="J61" s="87" t="str">
        <x:v>No</x:v>
      </x:c>
      <x:c r="K61" s="87" t="str">
        <x:v>Таазны хавтан угсрах: өдөрт төлөвлөсөн хэмжээнээс 17% зөрүүтэй гүйцэтгэл.</x:v>
      </x:c>
      <x:c r="L61" s="35" t="str">
        <x:v>Windy</x:v>
      </x:c>
    </x:row>
    <x:row r="62">
      <x:c r="A62" s="145" t="str">
        <x:v>DR-0059</x:v>
      </x:c>
      <x:c r="B62" s="88" t="n">
        <x:v>46159</x:v>
      </x:c>
      <x:c r="C62" s="87" t="str">
        <x:v>W-011</x:v>
      </x:c>
      <x:c r="D62" s="89" t="n">
        <x:v>9</x:v>
      </x:c>
      <x:c r="E62" s="89" t="n">
        <x:v>73.7</x:v>
      </x:c>
      <x:c r="F62" s="89" t="n">
        <x:v>104.21</x:v>
      </x:c>
      <x:c r="G62" s="87" t="str">
        <x:v>m2</x:v>
      </x:c>
      <x:c r="H62" s="87" t="str">
        <x:v>Normal</x:v>
      </x:c>
      <x:c r="I62" s="87" t="str"/>
      <x:c r="J62" s="87" t="str">
        <x:v>No</x:v>
      </x:c>
      <x:c r="K62" s="87" t="str">
        <x:v>Шалны суурь тэгшилгээ: өдөрт төлөвлөсөн хэмжээнээс -8% зөрүүтэй гүйцэтгэл.</x:v>
      </x:c>
      <x:c r="L62" s="35" t="str">
        <x:v>Clear</x:v>
      </x:c>
    </x:row>
    <x:row r="63">
      <x:c r="A63" s="145" t="str">
        <x:v>DR-0060</x:v>
      </x:c>
      <x:c r="B63" s="88" t="n">
        <x:v>46159</x:v>
      </x:c>
      <x:c r="C63" s="87" t="str">
        <x:v>W-013</x:v>
      </x:c>
      <x:c r="D63" s="89" t="n">
        <x:v>5</x:v>
      </x:c>
      <x:c r="E63" s="89" t="n">
        <x:v>39.5</x:v>
      </x:c>
      <x:c r="F63" s="89" t="n">
        <x:v>87.8</x:v>
      </x:c>
      <x:c r="G63" s="87" t="str">
        <x:v>m2</x:v>
      </x:c>
      <x:c r="H63" s="87" t="str">
        <x:v>Normal</x:v>
      </x:c>
      <x:c r="I63" s="87" t="str"/>
      <x:c r="J63" s="87" t="str">
        <x:v>No</x:v>
      </x:c>
      <x:c r="K63" s="87" t="str">
        <x:v>Таазны хавтан угсрах: өдөрт төлөвлөсөн хэмжээнээс 1% зөрүүтэй гүйцэтгэл.</x:v>
      </x:c>
      <x:c r="L63" s="35" t="str">
        <x:v>Clear</x:v>
      </x:c>
    </x:row>
    <x:row r="64">
      <x:c r="A64" s="145" t="str">
        <x:v>DR-0061</x:v>
      </x:c>
      <x:c r="B64" s="88" t="n">
        <x:v>46159</x:v>
      </x:c>
      <x:c r="C64" s="87" t="str">
        <x:v>W-010</x:v>
      </x:c>
      <x:c r="D64" s="89" t="n">
        <x:v>3</x:v>
      </x:c>
      <x:c r="E64" s="89" t="n">
        <x:v>23.1</x:v>
      </x:c>
      <x:c r="F64" s="89" t="n">
        <x:v>121.55</x:v>
      </x:c>
      <x:c r="G64" s="87" t="str">
        <x:v>m2</x:v>
      </x:c>
      <x:c r="H64" s="87" t="str">
        <x:v>Normal</x:v>
      </x:c>
      <x:c r="I64" s="87" t="str"/>
      <x:c r="J64" s="87" t="str">
        <x:v>No</x:v>
      </x:c>
      <x:c r="K64" s="87" t="str">
        <x:v>Ханын шавардлага, тэгшилгээ: өдөрт төлөвлөсөн хэмжээнээс 14% зөрүүтэй гүйцэтгэл.</x:v>
      </x:c>
      <x:c r="L64" s="35" t="str">
        <x:v>Clear</x:v>
      </x:c>
    </x:row>
    <x:row r="65">
      <x:c r="A65" s="145" t="str">
        <x:v>DR-0062</x:v>
      </x:c>
      <x:c r="B65" s="88" t="n">
        <x:v>46160</x:v>
      </x:c>
      <x:c r="C65" s="87" t="str">
        <x:v>W-013</x:v>
      </x:c>
      <x:c r="D65" s="89" t="n">
        <x:v>3</x:v>
      </x:c>
      <x:c r="E65" s="89" t="n">
        <x:v>24.8</x:v>
      </x:c>
      <x:c r="F65" s="89" t="n">
        <x:v>79.53</x:v>
      </x:c>
      <x:c r="G65" s="87" t="str">
        <x:v>m2</x:v>
      </x:c>
      <x:c r="H65" s="87" t="str">
        <x:v>Normal</x:v>
      </x:c>
      <x:c r="I65" s="87" t="str"/>
      <x:c r="J65" s="87" t="str">
        <x:v>No</x:v>
      </x:c>
      <x:c r="K65" s="87" t="str">
        <x:v>Таазны хавтан угсрах: өдөрт төлөвлөсөн хэмжээнээс -6% зөрүүтэй гүйцэтгэл.</x:v>
      </x:c>
      <x:c r="L65" s="35" t="str">
        <x:v>Cloudy</x:v>
      </x:c>
    </x:row>
    <x:row r="66">
      <x:c r="A66" s="145" t="str">
        <x:v>DR-0063</x:v>
      </x:c>
      <x:c r="B66" s="88" t="n">
        <x:v>46160</x:v>
      </x:c>
      <x:c r="C66" s="87" t="str">
        <x:v>W-010</x:v>
      </x:c>
      <x:c r="D66" s="89" t="n">
        <x:v>8</x:v>
      </x:c>
      <x:c r="E66" s="89" t="n">
        <x:v>62.1</x:v>
      </x:c>
      <x:c r="F66" s="89" t="n">
        <x:v>128.48</x:v>
      </x:c>
      <x:c r="G66" s="87" t="str">
        <x:v>m2</x:v>
      </x:c>
      <x:c r="H66" s="87" t="str">
        <x:v>Delayed</x:v>
      </x:c>
      <x:c r="I66" s="87" t="str">
        <x:v>ISS-003</x:v>
      </x:c>
      <x:c r="J66" s="87" t="str">
        <x:v>No</x:v>
      </x:c>
      <x:c r="K66" s="87" t="str">
        <x:v>Ханын шавардлага, тэгшилгээ: өдөрт төлөвлөсөн хэмжээнээс 16% зөрүүтэй гүйцэтгэл.</x:v>
      </x:c>
      <x:c r="L66" s="35" t="str">
        <x:v>Cloudy</x:v>
      </x:c>
    </x:row>
    <x:row r="67">
      <x:c r="A67" s="145" t="str">
        <x:v>DR-0064</x:v>
      </x:c>
      <x:c r="B67" s="88" t="n">
        <x:v>46160</x:v>
      </x:c>
      <x:c r="C67" s="87" t="str">
        <x:v>W-012</x:v>
      </x:c>
      <x:c r="D67" s="89" t="n">
        <x:v>7</x:v>
      </x:c>
      <x:c r="E67" s="89" t="n">
        <x:v>65.6</x:v>
      </x:c>
      <x:c r="F67" s="89" t="n">
        <x:v>34.61</x:v>
      </x:c>
      <x:c r="G67" s="87" t="str">
        <x:v>m2</x:v>
      </x:c>
      <x:c r="H67" s="87" t="str">
        <x:v>Delayed</x:v>
      </x:c>
      <x:c r="I67" s="87" t="str">
        <x:v>ISS-001</x:v>
      </x:c>
      <x:c r="J67" s="87" t="str">
        <x:v>No</x:v>
      </x:c>
      <x:c r="K67" s="87" t="str">
        <x:v>Плита наах: өдөрт төлөвлөсөн хэмжээнээс 15% зөрүүтэй гүйцэтгэл.</x:v>
      </x:c>
      <x:c r="L67" s="35" t="str">
        <x:v>Cloudy</x:v>
      </x:c>
    </x:row>
    <x:row r="68">
      <x:c r="A68" s="145" t="str">
        <x:v>DR-0065</x:v>
      </x:c>
      <x:c r="B68" s="88" t="n">
        <x:v>46161</x:v>
      </x:c>
      <x:c r="C68" s="87" t="str">
        <x:v>W-012</x:v>
      </x:c>
      <x:c r="D68" s="89" t="n">
        <x:v>3</x:v>
      </x:c>
      <x:c r="E68" s="89" t="n">
        <x:v>23.8</x:v>
      </x:c>
      <x:c r="F68" s="89" t="n">
        <x:v>34.7</x:v>
      </x:c>
      <x:c r="G68" s="87" t="str">
        <x:v>m2</x:v>
      </x:c>
      <x:c r="H68" s="87" t="str">
        <x:v>Delayed</x:v>
      </x:c>
      <x:c r="I68" s="87" t="str">
        <x:v>ISS-002</x:v>
      </x:c>
      <x:c r="J68" s="87" t="str">
        <x:v>No</x:v>
      </x:c>
      <x:c r="K68" s="87" t="str">
        <x:v>Плита наах: өдөрт төлөвлөсөн хэмжээнээс 13% зөрүүтэй гүйцэтгэл.</x:v>
      </x:c>
      <x:c r="L68" s="35" t="str">
        <x:v>Light Rain</x:v>
      </x:c>
    </x:row>
    <x:row r="69">
      <x:c r="A69" s="145" t="str">
        <x:v>DR-0066</x:v>
      </x:c>
      <x:c r="B69" s="88" t="n">
        <x:v>46161</x:v>
      </x:c>
      <x:c r="C69" s="87" t="str">
        <x:v>W-013</x:v>
      </x:c>
      <x:c r="D69" s="89" t="n">
        <x:v>9</x:v>
      </x:c>
      <x:c r="E69" s="89" t="n">
        <x:v>82.6</x:v>
      </x:c>
      <x:c r="F69" s="89" t="n">
        <x:v>99.51</x:v>
      </x:c>
      <x:c r="G69" s="87" t="str">
        <x:v>m2</x:v>
      </x:c>
      <x:c r="H69" s="87" t="str">
        <x:v>Delayed</x:v>
      </x:c>
      <x:c r="I69" s="87" t="str">
        <x:v>ISS-001</x:v>
      </x:c>
      <x:c r="J69" s="87" t="str">
        <x:v>No</x:v>
      </x:c>
      <x:c r="K69" s="87" t="str">
        <x:v>Таазны хавтан угсрах: өдөрт төлөвлөсөн хэмжээнээс -4% зөрүүтэй гүйцэтгэл.</x:v>
      </x:c>
      <x:c r="L69" s="35" t="str">
        <x:v>Light Rain</x:v>
      </x:c>
    </x:row>
    <x:row r="70">
      <x:c r="A70" s="145" t="str">
        <x:v>DR-0067</x:v>
      </x:c>
      <x:c r="B70" s="88" t="n">
        <x:v>46161</x:v>
      </x:c>
      <x:c r="C70" s="87" t="str">
        <x:v>W-010</x:v>
      </x:c>
      <x:c r="D70" s="89" t="n">
        <x:v>8</x:v>
      </x:c>
      <x:c r="E70" s="89" t="n">
        <x:v>62.2</x:v>
      </x:c>
      <x:c r="F70" s="89" t="n">
        <x:v>98.59</x:v>
      </x:c>
      <x:c r="G70" s="87" t="str">
        <x:v>m2</x:v>
      </x:c>
      <x:c r="H70" s="87" t="str">
        <x:v>Normal</x:v>
      </x:c>
      <x:c r="I70" s="87" t="str"/>
      <x:c r="J70" s="87" t="str">
        <x:v>No</x:v>
      </x:c>
      <x:c r="K70" s="87" t="str">
        <x:v>Ханын шавардлага, тэгшилгээ: өдөрт төлөвлөсөн хэмжээнээс -5% зөрүүтэй гүйцэтгэл.</x:v>
      </x:c>
      <x:c r="L70" s="35" t="str">
        <x:v>Light Rain</x:v>
      </x:c>
    </x:row>
    <x:row r="71">
      <x:c r="A71" s="145" t="str">
        <x:v>DR-0068</x:v>
      </x:c>
      <x:c r="B71" s="88" t="n">
        <x:v>46162</x:v>
      </x:c>
      <x:c r="C71" s="87" t="str">
        <x:v>W-013</x:v>
      </x:c>
      <x:c r="D71" s="89" t="n">
        <x:v>9</x:v>
      </x:c>
      <x:c r="E71" s="89" t="n">
        <x:v>85.4</x:v>
      </x:c>
      <x:c r="F71" s="89" t="n">
        <x:v>76.34</x:v>
      </x:c>
      <x:c r="G71" s="87" t="str">
        <x:v>m2</x:v>
      </x:c>
      <x:c r="H71" s="87" t="str">
        <x:v>Delayed</x:v>
      </x:c>
      <x:c r="I71" s="87" t="str">
        <x:v>ISS-001</x:v>
      </x:c>
      <x:c r="J71" s="87" t="str">
        <x:v>No</x:v>
      </x:c>
      <x:c r="K71" s="87" t="str">
        <x:v>Таазны хавтан угсрах: өдөрт төлөвлөсөн хэмжээнээс -5% зөрүүтэй гүйцэтгэл.</x:v>
      </x:c>
      <x:c r="L71" s="35" t="str">
        <x:v>Clear</x:v>
      </x:c>
    </x:row>
    <x:row r="72">
      <x:c r="A72" s="145" t="str">
        <x:v>DR-0069</x:v>
      </x:c>
      <x:c r="B72" s="88" t="n">
        <x:v>46162</x:v>
      </x:c>
      <x:c r="C72" s="87" t="str">
        <x:v>W-012</x:v>
      </x:c>
      <x:c r="D72" s="89" t="n">
        <x:v>4</x:v>
      </x:c>
      <x:c r="E72" s="89" t="n">
        <x:v>34</x:v>
      </x:c>
      <x:c r="F72" s="89" t="n">
        <x:v>22.54</x:v>
      </x:c>
      <x:c r="G72" s="87" t="str">
        <x:v>m2</x:v>
      </x:c>
      <x:c r="H72" s="87" t="str">
        <x:v>Normal</x:v>
      </x:c>
      <x:c r="I72" s="87" t="str"/>
      <x:c r="J72" s="87" t="str">
        <x:v>No</x:v>
      </x:c>
      <x:c r="K72" s="87" t="str">
        <x:v>Плита наах: өдөрт төлөвлөсөн хэмжээнээс 18% зөрүүтэй гүйцэтгэл.</x:v>
      </x:c>
      <x:c r="L72" s="35" t="str">
        <x:v>Clear</x:v>
      </x:c>
    </x:row>
    <x:row r="73">
      <x:c r="A73" s="145" t="str">
        <x:v>DR-0070</x:v>
      </x:c>
      <x:c r="B73" s="88" t="n">
        <x:v>46162</x:v>
      </x:c>
      <x:c r="C73" s="87" t="str">
        <x:v>W-010</x:v>
      </x:c>
      <x:c r="D73" s="89" t="n">
        <x:v>5</x:v>
      </x:c>
      <x:c r="E73" s="89" t="n">
        <x:v>45.5</x:v>
      </x:c>
      <x:c r="F73" s="89" t="n">
        <x:v>133.7</x:v>
      </x:c>
      <x:c r="G73" s="87" t="str">
        <x:v>m2</x:v>
      </x:c>
      <x:c r="H73" s="87" t="str">
        <x:v>Normal</x:v>
      </x:c>
      <x:c r="I73" s="87" t="str"/>
      <x:c r="J73" s="87" t="str">
        <x:v>No</x:v>
      </x:c>
      <x:c r="K73" s="87" t="str">
        <x:v>Ханын шавардлага, тэгшилгээ: өдөрт төлөвлөсөн хэмжээнээс 14% зөрүүтэй гүйцэтгэл.</x:v>
      </x:c>
      <x:c r="L73" s="35" t="str">
        <x:v>Clear</x:v>
      </x:c>
    </x:row>
    <x:row r="74">
      <x:c r="A74" s="145" t="str">
        <x:v>DR-0071</x:v>
      </x:c>
      <x:c r="B74" s="88" t="n">
        <x:v>46163</x:v>
      </x:c>
      <x:c r="C74" s="87" t="str">
        <x:v>W-010</x:v>
      </x:c>
      <x:c r="D74" s="89" t="n">
        <x:v>3</x:v>
      </x:c>
      <x:c r="E74" s="89" t="n">
        <x:v>29.1</x:v>
      </x:c>
      <x:c r="F74" s="89" t="n">
        <x:v>143.18</x:v>
      </x:c>
      <x:c r="G74" s="87" t="str">
        <x:v>m2</x:v>
      </x:c>
      <x:c r="H74" s="87" t="str">
        <x:v>Normal</x:v>
      </x:c>
      <x:c r="I74" s="87" t="str"/>
      <x:c r="J74" s="87" t="str">
        <x:v>No</x:v>
      </x:c>
      <x:c r="K74" s="87" t="str">
        <x:v>Ханын шавардлага, тэгшилгээ: өдөрт төлөвлөсөн хэмжээнээс 18% зөрүүтэй гүйцэтгэл.</x:v>
      </x:c>
      <x:c r="L74" s="35" t="str">
        <x:v>Windy</x:v>
      </x:c>
    </x:row>
    <x:row r="75">
      <x:c r="A75" s="145" t="str">
        <x:v>DR-0072</x:v>
      </x:c>
      <x:c r="B75" s="88" t="n">
        <x:v>46163</x:v>
      </x:c>
      <x:c r="C75" s="87" t="str">
        <x:v>W-012</x:v>
      </x:c>
      <x:c r="D75" s="89" t="n">
        <x:v>3</x:v>
      </x:c>
      <x:c r="E75" s="89" t="n">
        <x:v>23.3</x:v>
      </x:c>
      <x:c r="F75" s="89" t="n">
        <x:v>36.15</x:v>
      </x:c>
      <x:c r="G75" s="87" t="str">
        <x:v>m2</x:v>
      </x:c>
      <x:c r="H75" s="87" t="str">
        <x:v>Normal</x:v>
      </x:c>
      <x:c r="I75" s="87" t="str"/>
      <x:c r="J75" s="87" t="str">
        <x:v>No</x:v>
      </x:c>
      <x:c r="K75" s="87" t="str">
        <x:v>Плита наах: өдөрт төлөвлөсөн хэмжээнээс 13% зөрүүтэй гүйцэтгэл.</x:v>
      </x:c>
      <x:c r="L75" s="35" t="str">
        <x:v>Windy</x:v>
      </x:c>
    </x:row>
    <x:row r="76">
      <x:c r="A76" s="145" t="str">
        <x:v>DR-0073</x:v>
      </x:c>
      <x:c r="B76" s="88" t="n">
        <x:v>46163</x:v>
      </x:c>
      <x:c r="C76" s="87" t="str">
        <x:v>W-013</x:v>
      </x:c>
      <x:c r="D76" s="89" t="n">
        <x:v>7</x:v>
      </x:c>
      <x:c r="E76" s="89" t="n">
        <x:v>69.7</x:v>
      </x:c>
      <x:c r="F76" s="89" t="n">
        <x:v>74.91</x:v>
      </x:c>
      <x:c r="G76" s="87" t="str">
        <x:v>m2</x:v>
      </x:c>
      <x:c r="H76" s="87" t="str">
        <x:v>Normal</x:v>
      </x:c>
      <x:c r="I76" s="87" t="str"/>
      <x:c r="J76" s="87" t="str">
        <x:v>No</x:v>
      </x:c>
      <x:c r="K76" s="87" t="str">
        <x:v>Таазны хавтан угсрах: өдөрт төлөвлөсөн хэмжээнээс 6% зөрүүтэй гүйцэтгэл.</x:v>
      </x:c>
      <x:c r="L76" s="35" t="str">
        <x:v>Windy</x:v>
      </x:c>
    </x:row>
    <x:row r="77">
      <x:c r="A77" s="145" t="str">
        <x:v>DR-0074</x:v>
      </x:c>
      <x:c r="B77" s="88" t="n">
        <x:v>46164</x:v>
      </x:c>
      <x:c r="C77" s="87" t="str">
        <x:v>W-016</x:v>
      </x:c>
      <x:c r="D77" s="89" t="n">
        <x:v>6</x:v>
      </x:c>
      <x:c r="E77" s="89" t="n">
        <x:v>45</x:v>
      </x:c>
      <x:c r="F77" s="89" t="n">
        <x:v>12.01</x:v>
      </x:c>
      <x:c r="G77" s="87" t="str">
        <x:v>pcs</x:v>
      </x:c>
      <x:c r="H77" s="87" t="str">
        <x:v>Delayed</x:v>
      </x:c>
      <x:c r="I77" s="87" t="str">
        <x:v>ISS-003</x:v>
      </x:c>
      <x:c r="J77" s="87" t="str">
        <x:v>No</x:v>
      </x:c>
      <x:c r="K77" s="87" t="str">
        <x:v>Гэрэлтүүлэг, залгуур суурилуулах: өдөрт төлөвлөсөн хэмжээнээс 9% зөрүүтэй гүйцэтгэл.</x:v>
      </x:c>
      <x:c r="L77" s="35" t="str">
        <x:v>Clear</x:v>
      </x:c>
    </x:row>
    <x:row r="78">
      <x:c r="A78" s="145" t="str">
        <x:v>DR-0075</x:v>
      </x:c>
      <x:c r="B78" s="88" t="n">
        <x:v>46164</x:v>
      </x:c>
      <x:c r="C78" s="87" t="str">
        <x:v>W-014</x:v>
      </x:c>
      <x:c r="D78" s="89" t="n">
        <x:v>8</x:v>
      </x:c>
      <x:c r="E78" s="89" t="n">
        <x:v>74.7</x:v>
      </x:c>
      <x:c r="F78" s="89" t="n">
        <x:v>292.16</x:v>
      </x:c>
      <x:c r="G78" s="87" t="str">
        <x:v>m2</x:v>
      </x:c>
      <x:c r="H78" s="87" t="str">
        <x:v>Delayed</x:v>
      </x:c>
      <x:c r="I78" s="87" t="str">
        <x:v>ISS-001</x:v>
      </x:c>
      <x:c r="J78" s="87" t="str">
        <x:v>No</x:v>
      </x:c>
      <x:c r="K78" s="87" t="str">
        <x:v>Праймер болон суурь будалт: өдөрт төлөвлөсөн хэмжээнээс -1% зөрүүтэй гүйцэтгэл.</x:v>
      </x:c>
      <x:c r="L78" s="35" t="str">
        <x:v>Clear</x:v>
      </x:c>
    </x:row>
    <x:row r="79">
      <x:c r="A79" s="146" t="str">
        <x:v>DR-0076</x:v>
      </x:c>
      <x:c r="B79" s="94" t="n">
        <x:v>46164</x:v>
      </x:c>
      <x:c r="C79" s="93" t="str">
        <x:v>W-012</x:v>
      </x:c>
      <x:c r="D79" s="95" t="n">
        <x:v>8</x:v>
      </x:c>
      <x:c r="E79" s="95" t="n">
        <x:v>78.4</x:v>
      </x:c>
      <x:c r="F79" s="95" t="n">
        <x:v>28.32</x:v>
      </x:c>
      <x:c r="G79" s="93" t="str">
        <x:v>m2</x:v>
      </x:c>
      <x:c r="H79" s="93" t="str">
        <x:v>Normal</x:v>
      </x:c>
      <x:c r="I79" s="93" t="str"/>
      <x:c r="J79" s="93" t="str">
        <x:v>No</x:v>
      </x:c>
      <x:c r="K79" s="93" t="str">
        <x:v>Плита наах: өдөрт төлөвлөсөн хэмжээнээс 15% зөрүүтэй гүйцэтгэл.</x:v>
      </x:c>
      <x:c r="L79" s="37" t="str">
        <x:v>Clear</x:v>
      </x:c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L1"/>
  </x:mergeCells>
  <x:conditionalFormatting sqref="H4:H79">
    <x:cfRule type="expression" dxfId="1" priority="1">
      <x:formula>H4="Delayed"</x:formula>
    </x:cfRule>
    <x:cfRule type="expression" dxfId="2" priority="2">
      <x:formula>H4="Blocked"</x:formula>
    </x:cfRule>
  </x:conditionalFormatting>
  <x:dataValidations count="2">
    <x:dataValidation type="list" sqref="G4:G79">
      <x:formula1>Lists!$B$2:$B$10</x:formula1>
    </x:dataValidation>
    <x:dataValidation type="list" sqref="H4:H79">
      <x:formula1>Lists!$F$2:$F$5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3c352bcce04d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0" hidden="0" customWidth="1"/>
    <x:col min="6" max="6" width="14" hidden="0" customWidth="1"/>
    <x:col min="7" max="7" width="14" hidden="0" customWidth="1"/>
    <x:col min="8" max="8" width="12" hidden="0" customWidth="1"/>
  </x:cols>
  <x:sheetData>
    <x:row r="1">
      <x:c r="A1" s="5" t="str">
        <x:v>ИРЦ БА АЖИЛЛАСАН ЦАГ</x:v>
      </x:c>
      <x:c r="B1" s="5"/>
      <x:c r="C1" s="5"/>
      <x:c r="D1" s="5"/>
      <x:c r="E1" s="5"/>
      <x:c r="F1" s="5"/>
      <x:c r="G1" s="5"/>
      <x:c r="H1" s="5"/>
    </x:row>
    <x:row r="2">
      <x:c r="A2" s="143"/>
    </x:row>
    <x:row r="3">
      <x:c r="A3" s="14" t="str">
        <x:v>Attendance_ID</x:v>
      </x:c>
      <x:c r="B3" s="14" t="str">
        <x:v>Date</x:v>
      </x:c>
      <x:c r="C3" s="14" t="str">
        <x:v>Employee_Code</x:v>
      </x:c>
      <x:c r="D3" s="14" t="str">
        <x:v>Role_Code</x:v>
      </x:c>
      <x:c r="E3" s="14" t="str">
        <x:v>Shift</x:v>
      </x:c>
      <x:c r="F3" s="14" t="str">
        <x:v>Regular_Hours</x:v>
      </x:c>
      <x:c r="G3" s="14" t="str">
        <x:v>Overtime_Hours</x:v>
      </x:c>
      <x:c r="H3" s="14" t="str">
        <x:v>Work_Code</x:v>
      </x:c>
    </x:row>
    <x:row r="4">
      <x:c r="A4" s="151" t="str">
        <x:v>AT-00001</x:v>
      </x:c>
      <x:c r="B4" s="59" t="n">
        <x:v>46134</x:v>
      </x:c>
      <x:c r="C4" s="44" t="str">
        <x:v>EMP-012</x:v>
      </x:c>
      <x:c r="D4" s="44" t="str">
        <x:v>HELPER</x:v>
      </x:c>
      <x:c r="E4" s="44" t="str">
        <x:v>Day</x:v>
      </x:c>
      <x:c r="F4" s="119" t="n">
        <x:v>8</x:v>
      </x:c>
      <x:c r="G4" s="119" t="n">
        <x:v>1.5</x:v>
      </x:c>
      <x:c r="H4" s="21" t="str">
        <x:v>W-005</x:v>
      </x:c>
    </x:row>
    <x:row r="5">
      <x:c r="A5" s="152" t="str">
        <x:v>AT-00002</x:v>
      </x:c>
      <x:c r="B5" s="49" t="n">
        <x:v>46134</x:v>
      </x:c>
      <x:c r="C5" s="45" t="str">
        <x:v>EMP-005</x:v>
      </x:c>
      <x:c r="D5" s="45" t="str">
        <x:v>CARPENTER</x:v>
      </x:c>
      <x:c r="E5" s="45" t="str">
        <x:v>Day</x:v>
      </x:c>
      <x:c r="F5" s="117" t="n">
        <x:v>8</x:v>
      </x:c>
      <x:c r="G5" s="117" t="n">
        <x:v>0</x:v>
      </x:c>
      <x:c r="H5" s="23" t="str">
        <x:v>W-008</x:v>
      </x:c>
    </x:row>
    <x:row r="6">
      <x:c r="A6" s="152" t="str">
        <x:v>AT-00003</x:v>
      </x:c>
      <x:c r="B6" s="49" t="n">
        <x:v>46134</x:v>
      </x:c>
      <x:c r="C6" s="45" t="str">
        <x:v>EMP-009</x:v>
      </x:c>
      <x:c r="D6" s="45" t="str">
        <x:v>PAINTER</x:v>
      </x:c>
      <x:c r="E6" s="45" t="str">
        <x:v>Day</x:v>
      </x:c>
      <x:c r="F6" s="117" t="n">
        <x:v>8</x:v>
      </x:c>
      <x:c r="G6" s="117" t="n">
        <x:v>2</x:v>
      </x:c>
      <x:c r="H6" s="23" t="str">
        <x:v>W-014</x:v>
      </x:c>
    </x:row>
    <x:row r="7">
      <x:c r="A7" s="152" t="str">
        <x:v>AT-00004</x:v>
      </x:c>
      <x:c r="B7" s="49" t="n">
        <x:v>46134</x:v>
      </x:c>
      <x:c r="C7" s="45" t="str">
        <x:v>EMP-014</x:v>
      </x:c>
      <x:c r="D7" s="45" t="str">
        <x:v>SAFETY</x:v>
      </x:c>
      <x:c r="E7" s="45" t="str">
        <x:v>Day</x:v>
      </x:c>
      <x:c r="F7" s="117" t="n">
        <x:v>8</x:v>
      </x:c>
      <x:c r="G7" s="117" t="n">
        <x:v>2</x:v>
      </x:c>
      <x:c r="H7" s="23" t="str">
        <x:v>W-002</x:v>
      </x:c>
    </x:row>
    <x:row r="8">
      <x:c r="A8" s="152" t="str">
        <x:v>AT-00005</x:v>
      </x:c>
      <x:c r="B8" s="49" t="n">
        <x:v>46134</x:v>
      </x:c>
      <x:c r="C8" s="45" t="str">
        <x:v>EMP-011</x:v>
      </x:c>
      <x:c r="D8" s="45" t="str">
        <x:v>HELPER</x:v>
      </x:c>
      <x:c r="E8" s="45" t="str">
        <x:v>Day</x:v>
      </x:c>
      <x:c r="F8" s="117" t="n">
        <x:v>8</x:v>
      </x:c>
      <x:c r="G8" s="117" t="n">
        <x:v>1.5</x:v>
      </x:c>
      <x:c r="H8" s="23" t="str">
        <x:v>W-009</x:v>
      </x:c>
    </x:row>
    <x:row r="9">
      <x:c r="A9" s="152" t="str">
        <x:v>AT-00006</x:v>
      </x:c>
      <x:c r="B9" s="49" t="n">
        <x:v>46134</x:v>
      </x:c>
      <x:c r="C9" s="45" t="str">
        <x:v>EMP-007</x:v>
      </x:c>
      <x:c r="D9" s="45" t="str">
        <x:v>ELECTRICIAN</x:v>
      </x:c>
      <x:c r="E9" s="45" t="str">
        <x:v>Day</x:v>
      </x:c>
      <x:c r="F9" s="117" t="n">
        <x:v>8</x:v>
      </x:c>
      <x:c r="G9" s="117" t="n">
        <x:v>1</x:v>
      </x:c>
      <x:c r="H9" s="23" t="str">
        <x:v>W-016</x:v>
      </x:c>
    </x:row>
    <x:row r="10">
      <x:c r="A10" s="152" t="str">
        <x:v>AT-00007</x:v>
      </x:c>
      <x:c r="B10" s="49" t="n">
        <x:v>46134</x:v>
      </x:c>
      <x:c r="C10" s="45" t="str">
        <x:v>EMP-006</x:v>
      </x:c>
      <x:c r="D10" s="45" t="str">
        <x:v>ELECTRICIAN</x:v>
      </x:c>
      <x:c r="E10" s="45" t="str">
        <x:v>Day</x:v>
      </x:c>
      <x:c r="F10" s="117" t="n">
        <x:v>8</x:v>
      </x:c>
      <x:c r="G10" s="117" t="n">
        <x:v>0</x:v>
      </x:c>
      <x:c r="H10" s="23" t="str">
        <x:v>W-006</x:v>
      </x:c>
    </x:row>
    <x:row r="11">
      <x:c r="A11" s="152" t="str">
        <x:v>AT-00008</x:v>
      </x:c>
      <x:c r="B11" s="49" t="n">
        <x:v>46134</x:v>
      </x:c>
      <x:c r="C11" s="45" t="str">
        <x:v>EMP-010</x:v>
      </x:c>
      <x:c r="D11" s="45" t="str">
        <x:v>TILER</x:v>
      </x:c>
      <x:c r="E11" s="45" t="str">
        <x:v>Day</x:v>
      </x:c>
      <x:c r="F11" s="117" t="n">
        <x:v>8</x:v>
      </x:c>
      <x:c r="G11" s="117" t="n">
        <x:v>0</x:v>
      </x:c>
      <x:c r="H11" s="23" t="str">
        <x:v>W-011</x:v>
      </x:c>
    </x:row>
    <x:row r="12">
      <x:c r="A12" s="152" t="str">
        <x:v>AT-00009</x:v>
      </x:c>
      <x:c r="B12" s="49" t="n">
        <x:v>46134</x:v>
      </x:c>
      <x:c r="C12" s="45" t="str">
        <x:v>EMP-013</x:v>
      </x:c>
      <x:c r="D12" s="45" t="str">
        <x:v>HELPER</x:v>
      </x:c>
      <x:c r="E12" s="45" t="str">
        <x:v>Day</x:v>
      </x:c>
      <x:c r="F12" s="117" t="n">
        <x:v>8</x:v>
      </x:c>
      <x:c r="G12" s="117" t="n">
        <x:v>1</x:v>
      </x:c>
      <x:c r="H12" s="23" t="str">
        <x:v>W-010</x:v>
      </x:c>
    </x:row>
    <x:row r="13">
      <x:c r="A13" s="152" t="str">
        <x:v>AT-00010</x:v>
      </x:c>
      <x:c r="B13" s="49" t="n">
        <x:v>46134</x:v>
      </x:c>
      <x:c r="C13" s="45" t="str">
        <x:v>EMP-003</x:v>
      </x:c>
      <x:c r="D13" s="45" t="str">
        <x:v>FOREMAN</x:v>
      </x:c>
      <x:c r="E13" s="45" t="str">
        <x:v>Day</x:v>
      </x:c>
      <x:c r="F13" s="117" t="n">
        <x:v>8</x:v>
      </x:c>
      <x:c r="G13" s="117" t="n">
        <x:v>1</x:v>
      </x:c>
      <x:c r="H13" s="23" t="str">
        <x:v>W-009</x:v>
      </x:c>
    </x:row>
    <x:row r="14">
      <x:c r="A14" s="152" t="str">
        <x:v>AT-00011</x:v>
      </x:c>
      <x:c r="B14" s="49" t="n">
        <x:v>46135</x:v>
      </x:c>
      <x:c r="C14" s="45" t="str">
        <x:v>EMP-011</x:v>
      </x:c>
      <x:c r="D14" s="45" t="str">
        <x:v>HELPER</x:v>
      </x:c>
      <x:c r="E14" s="45" t="str">
        <x:v>Day</x:v>
      </x:c>
      <x:c r="F14" s="117" t="n">
        <x:v>8</x:v>
      </x:c>
      <x:c r="G14" s="117" t="n">
        <x:v>0</x:v>
      </x:c>
      <x:c r="H14" s="23" t="str">
        <x:v>W-002</x:v>
      </x:c>
    </x:row>
    <x:row r="15">
      <x:c r="A15" s="152" t="str">
        <x:v>AT-00012</x:v>
      </x:c>
      <x:c r="B15" s="49" t="n">
        <x:v>46135</x:v>
      </x:c>
      <x:c r="C15" s="45" t="str">
        <x:v>EMP-004</x:v>
      </x:c>
      <x:c r="D15" s="45" t="str">
        <x:v>CARPENTER</x:v>
      </x:c>
      <x:c r="E15" s="45" t="str">
        <x:v>Day</x:v>
      </x:c>
      <x:c r="F15" s="117" t="n">
        <x:v>8</x:v>
      </x:c>
      <x:c r="G15" s="117" t="n">
        <x:v>0</x:v>
      </x:c>
      <x:c r="H15" s="23" t="str">
        <x:v>W-005</x:v>
      </x:c>
    </x:row>
    <x:row r="16">
      <x:c r="A16" s="152" t="str">
        <x:v>AT-00013</x:v>
      </x:c>
      <x:c r="B16" s="49" t="n">
        <x:v>46135</x:v>
      </x:c>
      <x:c r="C16" s="45" t="str">
        <x:v>EMP-009</x:v>
      </x:c>
      <x:c r="D16" s="45" t="str">
        <x:v>PAINTER</x:v>
      </x:c>
      <x:c r="E16" s="45" t="str">
        <x:v>Day</x:v>
      </x:c>
      <x:c r="F16" s="117" t="n">
        <x:v>8</x:v>
      </x:c>
      <x:c r="G16" s="117" t="n">
        <x:v>1</x:v>
      </x:c>
      <x:c r="H16" s="23" t="str">
        <x:v>W-015</x:v>
      </x:c>
    </x:row>
    <x:row r="17">
      <x:c r="A17" s="152" t="str">
        <x:v>AT-00014</x:v>
      </x:c>
      <x:c r="B17" s="49" t="n">
        <x:v>46135</x:v>
      </x:c>
      <x:c r="C17" s="45" t="str">
        <x:v>EMP-008</x:v>
      </x:c>
      <x:c r="D17" s="45" t="str">
        <x:v>PLUMBER</x:v>
      </x:c>
      <x:c r="E17" s="45" t="str">
        <x:v>Day</x:v>
      </x:c>
      <x:c r="F17" s="117" t="n">
        <x:v>8</x:v>
      </x:c>
      <x:c r="G17" s="117" t="n">
        <x:v>0</x:v>
      </x:c>
      <x:c r="H17" s="23" t="str">
        <x:v>W-017</x:v>
      </x:c>
    </x:row>
    <x:row r="18">
      <x:c r="A18" s="152" t="str">
        <x:v>AT-00015</x:v>
      </x:c>
      <x:c r="B18" s="49" t="n">
        <x:v>46135</x:v>
      </x:c>
      <x:c r="C18" s="45" t="str">
        <x:v>EMP-003</x:v>
      </x:c>
      <x:c r="D18" s="45" t="str">
        <x:v>FOREMAN</x:v>
      </x:c>
      <x:c r="E18" s="45" t="str">
        <x:v>Day</x:v>
      </x:c>
      <x:c r="F18" s="117" t="n">
        <x:v>8</x:v>
      </x:c>
      <x:c r="G18" s="117" t="n">
        <x:v>1</x:v>
      </x:c>
      <x:c r="H18" s="23" t="str">
        <x:v>W-010</x:v>
      </x:c>
    </x:row>
    <x:row r="19">
      <x:c r="A19" s="152" t="str">
        <x:v>AT-00016</x:v>
      </x:c>
      <x:c r="B19" s="49" t="n">
        <x:v>46135</x:v>
      </x:c>
      <x:c r="C19" s="45" t="str">
        <x:v>EMP-002</x:v>
      </x:c>
      <x:c r="D19" s="45" t="str">
        <x:v>ENGINEER</x:v>
      </x:c>
      <x:c r="E19" s="45" t="str">
        <x:v>Day</x:v>
      </x:c>
      <x:c r="F19" s="117" t="n">
        <x:v>8</x:v>
      </x:c>
      <x:c r="G19" s="117" t="n">
        <x:v>0</x:v>
      </x:c>
      <x:c r="H19" s="23" t="str">
        <x:v>W-016</x:v>
      </x:c>
    </x:row>
    <x:row r="20">
      <x:c r="A20" s="152" t="str">
        <x:v>AT-00017</x:v>
      </x:c>
      <x:c r="B20" s="49" t="n">
        <x:v>46135</x:v>
      </x:c>
      <x:c r="C20" s="45" t="str">
        <x:v>EMP-005</x:v>
      </x:c>
      <x:c r="D20" s="45" t="str">
        <x:v>CARPENTER</x:v>
      </x:c>
      <x:c r="E20" s="45" t="str">
        <x:v>Day</x:v>
      </x:c>
      <x:c r="F20" s="117" t="n">
        <x:v>8</x:v>
      </x:c>
      <x:c r="G20" s="117" t="n">
        <x:v>1</x:v>
      </x:c>
      <x:c r="H20" s="23" t="str">
        <x:v>W-008</x:v>
      </x:c>
    </x:row>
    <x:row r="21">
      <x:c r="A21" s="152" t="str">
        <x:v>AT-00018</x:v>
      </x:c>
      <x:c r="B21" s="49" t="n">
        <x:v>46135</x:v>
      </x:c>
      <x:c r="C21" s="45" t="str">
        <x:v>EMP-006</x:v>
      </x:c>
      <x:c r="D21" s="45" t="str">
        <x:v>ELECTRICIAN</x:v>
      </x:c>
      <x:c r="E21" s="45" t="str">
        <x:v>Day</x:v>
      </x:c>
      <x:c r="F21" s="117" t="n">
        <x:v>8</x:v>
      </x:c>
      <x:c r="G21" s="117" t="n">
        <x:v>0</x:v>
      </x:c>
      <x:c r="H21" s="23" t="str">
        <x:v>W-004</x:v>
      </x:c>
    </x:row>
    <x:row r="22">
      <x:c r="A22" s="152" t="str">
        <x:v>AT-00019</x:v>
      </x:c>
      <x:c r="B22" s="49" t="n">
        <x:v>46135</x:v>
      </x:c>
      <x:c r="C22" s="45" t="str">
        <x:v>EMP-001</x:v>
      </x:c>
      <x:c r="D22" s="45" t="str">
        <x:v>SITE-MGR</x:v>
      </x:c>
      <x:c r="E22" s="45" t="str">
        <x:v>Day</x:v>
      </x:c>
      <x:c r="F22" s="117" t="n">
        <x:v>8</x:v>
      </x:c>
      <x:c r="G22" s="117" t="n">
        <x:v>2</x:v>
      </x:c>
      <x:c r="H22" s="23" t="str">
        <x:v>W-001</x:v>
      </x:c>
    </x:row>
    <x:row r="23">
      <x:c r="A23" s="152" t="str">
        <x:v>AT-00020</x:v>
      </x:c>
      <x:c r="B23" s="49" t="n">
        <x:v>46135</x:v>
      </x:c>
      <x:c r="C23" s="45" t="str">
        <x:v>EMP-010</x:v>
      </x:c>
      <x:c r="D23" s="45" t="str">
        <x:v>TILER</x:v>
      </x:c>
      <x:c r="E23" s="45" t="str">
        <x:v>Day</x:v>
      </x:c>
      <x:c r="F23" s="117" t="n">
        <x:v>8</x:v>
      </x:c>
      <x:c r="G23" s="117" t="n">
        <x:v>0</x:v>
      </x:c>
      <x:c r="H23" s="23" t="str">
        <x:v>W-012</x:v>
      </x:c>
    </x:row>
    <x:row r="24">
      <x:c r="A24" s="152" t="str">
        <x:v>AT-00021</x:v>
      </x:c>
      <x:c r="B24" s="49" t="n">
        <x:v>46135</x:v>
      </x:c>
      <x:c r="C24" s="45" t="str">
        <x:v>EMP-015</x:v>
      </x:c>
      <x:c r="D24" s="45" t="str">
        <x:v>CARPENTER</x:v>
      </x:c>
      <x:c r="E24" s="45" t="str">
        <x:v>Day</x:v>
      </x:c>
      <x:c r="F24" s="117" t="n">
        <x:v>8</x:v>
      </x:c>
      <x:c r="G24" s="117" t="n">
        <x:v>0</x:v>
      </x:c>
      <x:c r="H24" s="23" t="str">
        <x:v>W-005</x:v>
      </x:c>
    </x:row>
    <x:row r="25">
      <x:c r="A25" s="152" t="str">
        <x:v>AT-00022</x:v>
      </x:c>
      <x:c r="B25" s="49" t="n">
        <x:v>46135</x:v>
      </x:c>
      <x:c r="C25" s="45" t="str">
        <x:v>EMP-012</x:v>
      </x:c>
      <x:c r="D25" s="45" t="str">
        <x:v>HELPER</x:v>
      </x:c>
      <x:c r="E25" s="45" t="str">
        <x:v>Day</x:v>
      </x:c>
      <x:c r="F25" s="117" t="n">
        <x:v>8</x:v>
      </x:c>
      <x:c r="G25" s="117" t="n">
        <x:v>2</x:v>
      </x:c>
      <x:c r="H25" s="23" t="str">
        <x:v>W-012</x:v>
      </x:c>
    </x:row>
    <x:row r="26">
      <x:c r="A26" s="152" t="str">
        <x:v>AT-00023</x:v>
      </x:c>
      <x:c r="B26" s="49" t="n">
        <x:v>46135</x:v>
      </x:c>
      <x:c r="C26" s="45" t="str">
        <x:v>EMP-007</x:v>
      </x:c>
      <x:c r="D26" s="45" t="str">
        <x:v>ELECTRICIAN</x:v>
      </x:c>
      <x:c r="E26" s="45" t="str">
        <x:v>Day</x:v>
      </x:c>
      <x:c r="F26" s="117" t="n">
        <x:v>8</x:v>
      </x:c>
      <x:c r="G26" s="117" t="n">
        <x:v>0</x:v>
      </x:c>
      <x:c r="H26" s="23" t="str">
        <x:v>W-016</x:v>
      </x:c>
    </x:row>
    <x:row r="27">
      <x:c r="A27" s="152" t="str">
        <x:v>AT-00024</x:v>
      </x:c>
      <x:c r="B27" s="49" t="n">
        <x:v>46136</x:v>
      </x:c>
      <x:c r="C27" s="45" t="str">
        <x:v>EMP-015</x:v>
      </x:c>
      <x:c r="D27" s="45" t="str">
        <x:v>CARPENTER</x:v>
      </x:c>
      <x:c r="E27" s="45" t="str">
        <x:v>Day</x:v>
      </x:c>
      <x:c r="F27" s="117" t="n">
        <x:v>8</x:v>
      </x:c>
      <x:c r="G27" s="117" t="n">
        <x:v>2</x:v>
      </x:c>
      <x:c r="H27" s="23" t="str">
        <x:v>W-019</x:v>
      </x:c>
    </x:row>
    <x:row r="28">
      <x:c r="A28" s="152" t="str">
        <x:v>AT-00025</x:v>
      </x:c>
      <x:c r="B28" s="49" t="n">
        <x:v>46136</x:v>
      </x:c>
      <x:c r="C28" s="45" t="str">
        <x:v>EMP-014</x:v>
      </x:c>
      <x:c r="D28" s="45" t="str">
        <x:v>SAFETY</x:v>
      </x:c>
      <x:c r="E28" s="45" t="str">
        <x:v>Day</x:v>
      </x:c>
      <x:c r="F28" s="117" t="n">
        <x:v>8</x:v>
      </x:c>
      <x:c r="G28" s="117" t="n">
        <x:v>1</x:v>
      </x:c>
      <x:c r="H28" s="23" t="str">
        <x:v>W-020</x:v>
      </x:c>
    </x:row>
    <x:row r="29">
      <x:c r="A29" s="152" t="str">
        <x:v>AT-00026</x:v>
      </x:c>
      <x:c r="B29" s="49" t="n">
        <x:v>46136</x:v>
      </x:c>
      <x:c r="C29" s="45" t="str">
        <x:v>EMP-002</x:v>
      </x:c>
      <x:c r="D29" s="45" t="str">
        <x:v>ENGINEER</x:v>
      </x:c>
      <x:c r="E29" s="45" t="str">
        <x:v>Day</x:v>
      </x:c>
      <x:c r="F29" s="117" t="n">
        <x:v>8</x:v>
      </x:c>
      <x:c r="G29" s="117" t="n">
        <x:v>0</x:v>
      </x:c>
      <x:c r="H29" s="23" t="str">
        <x:v>W-016</x:v>
      </x:c>
    </x:row>
    <x:row r="30">
      <x:c r="A30" s="152" t="str">
        <x:v>AT-00027</x:v>
      </x:c>
      <x:c r="B30" s="49" t="n">
        <x:v>46136</x:v>
      </x:c>
      <x:c r="C30" s="45" t="str">
        <x:v>EMP-008</x:v>
      </x:c>
      <x:c r="D30" s="45" t="str">
        <x:v>PLUMBER</x:v>
      </x:c>
      <x:c r="E30" s="45" t="str">
        <x:v>Day</x:v>
      </x:c>
      <x:c r="F30" s="117" t="n">
        <x:v>8</x:v>
      </x:c>
      <x:c r="G30" s="117" t="n">
        <x:v>1</x:v>
      </x:c>
      <x:c r="H30" s="23" t="str">
        <x:v>W-017</x:v>
      </x:c>
    </x:row>
    <x:row r="31">
      <x:c r="A31" s="152" t="str">
        <x:v>AT-00028</x:v>
      </x:c>
      <x:c r="B31" s="49" t="n">
        <x:v>46136</x:v>
      </x:c>
      <x:c r="C31" s="45" t="str">
        <x:v>EMP-003</x:v>
      </x:c>
      <x:c r="D31" s="45" t="str">
        <x:v>FOREMAN</x:v>
      </x:c>
      <x:c r="E31" s="45" t="str">
        <x:v>Day</x:v>
      </x:c>
      <x:c r="F31" s="117" t="n">
        <x:v>8</x:v>
      </x:c>
      <x:c r="G31" s="117" t="n">
        <x:v>0</x:v>
      </x:c>
      <x:c r="H31" s="23" t="str">
        <x:v>W-008</x:v>
      </x:c>
    </x:row>
    <x:row r="32">
      <x:c r="A32" s="152" t="str">
        <x:v>AT-00029</x:v>
      </x:c>
      <x:c r="B32" s="49" t="n">
        <x:v>46136</x:v>
      </x:c>
      <x:c r="C32" s="45" t="str">
        <x:v>EMP-012</x:v>
      </x:c>
      <x:c r="D32" s="45" t="str">
        <x:v>HELPER</x:v>
      </x:c>
      <x:c r="E32" s="45" t="str">
        <x:v>Day</x:v>
      </x:c>
      <x:c r="F32" s="117" t="n">
        <x:v>8</x:v>
      </x:c>
      <x:c r="G32" s="117" t="n">
        <x:v>1.5</x:v>
      </x:c>
      <x:c r="H32" s="23" t="str">
        <x:v>W-012</x:v>
      </x:c>
    </x:row>
    <x:row r="33">
      <x:c r="A33" s="152" t="str">
        <x:v>AT-00030</x:v>
      </x:c>
      <x:c r="B33" s="49" t="n">
        <x:v>46136</x:v>
      </x:c>
      <x:c r="C33" s="45" t="str">
        <x:v>EMP-009</x:v>
      </x:c>
      <x:c r="D33" s="45" t="str">
        <x:v>PAINTER</x:v>
      </x:c>
      <x:c r="E33" s="45" t="str">
        <x:v>Day</x:v>
      </x:c>
      <x:c r="F33" s="117" t="n">
        <x:v>8</x:v>
      </x:c>
      <x:c r="G33" s="117" t="n">
        <x:v>2</x:v>
      </x:c>
      <x:c r="H33" s="23" t="str">
        <x:v>W-010</x:v>
      </x:c>
    </x:row>
    <x:row r="34">
      <x:c r="A34" s="152" t="str">
        <x:v>AT-00031</x:v>
      </x:c>
      <x:c r="B34" s="49" t="n">
        <x:v>46136</x:v>
      </x:c>
      <x:c r="C34" s="45" t="str">
        <x:v>EMP-006</x:v>
      </x:c>
      <x:c r="D34" s="45" t="str">
        <x:v>ELECTRICIAN</x:v>
      </x:c>
      <x:c r="E34" s="45" t="str">
        <x:v>Day</x:v>
      </x:c>
      <x:c r="F34" s="117" t="n">
        <x:v>8</x:v>
      </x:c>
      <x:c r="G34" s="117" t="n">
        <x:v>0</x:v>
      </x:c>
      <x:c r="H34" s="23" t="str">
        <x:v>W-006</x:v>
      </x:c>
    </x:row>
    <x:row r="35">
      <x:c r="A35" s="152" t="str">
        <x:v>AT-00032</x:v>
      </x:c>
      <x:c r="B35" s="49" t="n">
        <x:v>46136</x:v>
      </x:c>
      <x:c r="C35" s="45" t="str">
        <x:v>EMP-007</x:v>
      </x:c>
      <x:c r="D35" s="45" t="str">
        <x:v>ELECTRICIAN</x:v>
      </x:c>
      <x:c r="E35" s="45" t="str">
        <x:v>Day</x:v>
      </x:c>
      <x:c r="F35" s="117" t="n">
        <x:v>8</x:v>
      </x:c>
      <x:c r="G35" s="117" t="n">
        <x:v>0</x:v>
      </x:c>
      <x:c r="H35" s="23" t="str">
        <x:v>W-016</x:v>
      </x:c>
    </x:row>
    <x:row r="36">
      <x:c r="A36" s="152" t="str">
        <x:v>AT-00033</x:v>
      </x:c>
      <x:c r="B36" s="49" t="n">
        <x:v>46136</x:v>
      </x:c>
      <x:c r="C36" s="45" t="str">
        <x:v>EMP-004</x:v>
      </x:c>
      <x:c r="D36" s="45" t="str">
        <x:v>CARPENTER</x:v>
      </x:c>
      <x:c r="E36" s="45" t="str">
        <x:v>Day</x:v>
      </x:c>
      <x:c r="F36" s="117" t="n">
        <x:v>8</x:v>
      </x:c>
      <x:c r="G36" s="117" t="n">
        <x:v>0</x:v>
      </x:c>
      <x:c r="H36" s="23" t="str">
        <x:v>W-005</x:v>
      </x:c>
    </x:row>
    <x:row r="37">
      <x:c r="A37" s="152" t="str">
        <x:v>AT-00034</x:v>
      </x:c>
      <x:c r="B37" s="49" t="n">
        <x:v>46136</x:v>
      </x:c>
      <x:c r="C37" s="45" t="str">
        <x:v>EMP-005</x:v>
      </x:c>
      <x:c r="D37" s="45" t="str">
        <x:v>CARPENTER</x:v>
      </x:c>
      <x:c r="E37" s="45" t="str">
        <x:v>Day</x:v>
      </x:c>
      <x:c r="F37" s="117" t="n">
        <x:v>8</x:v>
      </x:c>
      <x:c r="G37" s="117" t="n">
        <x:v>0</x:v>
      </x:c>
      <x:c r="H37" s="23" t="str">
        <x:v>W-008</x:v>
      </x:c>
    </x:row>
    <x:row r="38">
      <x:c r="A38" s="152" t="str">
        <x:v>AT-00035</x:v>
      </x:c>
      <x:c r="B38" s="49" t="n">
        <x:v>46137</x:v>
      </x:c>
      <x:c r="C38" s="45" t="str">
        <x:v>EMP-015</x:v>
      </x:c>
      <x:c r="D38" s="45" t="str">
        <x:v>CARPENTER</x:v>
      </x:c>
      <x:c r="E38" s="45" t="str">
        <x:v>Day</x:v>
      </x:c>
      <x:c r="F38" s="117" t="n">
        <x:v>8</x:v>
      </x:c>
      <x:c r="G38" s="117" t="n">
        <x:v>1</x:v>
      </x:c>
      <x:c r="H38" s="23" t="str">
        <x:v>W-008</x:v>
      </x:c>
    </x:row>
    <x:row r="39">
      <x:c r="A39" s="152" t="str">
        <x:v>AT-00036</x:v>
      </x:c>
      <x:c r="B39" s="49" t="n">
        <x:v>46137</x:v>
      </x:c>
      <x:c r="C39" s="45" t="str">
        <x:v>EMP-009</x:v>
      </x:c>
      <x:c r="D39" s="45" t="str">
        <x:v>PAINTER</x:v>
      </x:c>
      <x:c r="E39" s="45" t="str">
        <x:v>Day</x:v>
      </x:c>
      <x:c r="F39" s="117" t="n">
        <x:v>8</x:v>
      </x:c>
      <x:c r="G39" s="117" t="n">
        <x:v>1.5</x:v>
      </x:c>
      <x:c r="H39" s="23" t="str">
        <x:v>W-014</x:v>
      </x:c>
    </x:row>
    <x:row r="40">
      <x:c r="A40" s="152" t="str">
        <x:v>AT-00037</x:v>
      </x:c>
      <x:c r="B40" s="49" t="n">
        <x:v>46137</x:v>
      </x:c>
      <x:c r="C40" s="45" t="str">
        <x:v>EMP-002</x:v>
      </x:c>
      <x:c r="D40" s="45" t="str">
        <x:v>ENGINEER</x:v>
      </x:c>
      <x:c r="E40" s="45" t="str">
        <x:v>Day</x:v>
      </x:c>
      <x:c r="F40" s="117" t="n">
        <x:v>8</x:v>
      </x:c>
      <x:c r="G40" s="117" t="n">
        <x:v>1</x:v>
      </x:c>
      <x:c r="H40" s="23" t="str">
        <x:v>W-004</x:v>
      </x:c>
    </x:row>
    <x:row r="41">
      <x:c r="A41" s="152" t="str">
        <x:v>AT-00038</x:v>
      </x:c>
      <x:c r="B41" s="49" t="n">
        <x:v>46137</x:v>
      </x:c>
      <x:c r="C41" s="45" t="str">
        <x:v>EMP-003</x:v>
      </x:c>
      <x:c r="D41" s="45" t="str">
        <x:v>FOREMAN</x:v>
      </x:c>
      <x:c r="E41" s="45" t="str">
        <x:v>Day</x:v>
      </x:c>
      <x:c r="F41" s="117" t="n">
        <x:v>8</x:v>
      </x:c>
      <x:c r="G41" s="117" t="n">
        <x:v>0</x:v>
      </x:c>
      <x:c r="H41" s="23" t="str">
        <x:v>W-009</x:v>
      </x:c>
    </x:row>
    <x:row r="42">
      <x:c r="A42" s="152" t="str">
        <x:v>AT-00039</x:v>
      </x:c>
      <x:c r="B42" s="49" t="n">
        <x:v>46137</x:v>
      </x:c>
      <x:c r="C42" s="45" t="str">
        <x:v>EMP-012</x:v>
      </x:c>
      <x:c r="D42" s="45" t="str">
        <x:v>HELPER</x:v>
      </x:c>
      <x:c r="E42" s="45" t="str">
        <x:v>Day</x:v>
      </x:c>
      <x:c r="F42" s="117" t="n">
        <x:v>8</x:v>
      </x:c>
      <x:c r="G42" s="117" t="n">
        <x:v>1</x:v>
      </x:c>
      <x:c r="H42" s="23" t="str">
        <x:v>W-002</x:v>
      </x:c>
    </x:row>
    <x:row r="43">
      <x:c r="A43" s="152" t="str">
        <x:v>AT-00040</x:v>
      </x:c>
      <x:c r="B43" s="49" t="n">
        <x:v>46137</x:v>
      </x:c>
      <x:c r="C43" s="45" t="str">
        <x:v>EMP-004</x:v>
      </x:c>
      <x:c r="D43" s="45" t="str">
        <x:v>CARPENTER</x:v>
      </x:c>
      <x:c r="E43" s="45" t="str">
        <x:v>Day</x:v>
      </x:c>
      <x:c r="F43" s="117" t="n">
        <x:v>8</x:v>
      </x:c>
      <x:c r="G43" s="117" t="n">
        <x:v>1.5</x:v>
      </x:c>
      <x:c r="H43" s="23" t="str">
        <x:v>W-008</x:v>
      </x:c>
    </x:row>
    <x:row r="44">
      <x:c r="A44" s="152" t="str">
        <x:v>AT-00041</x:v>
      </x:c>
      <x:c r="B44" s="49" t="n">
        <x:v>46137</x:v>
      </x:c>
      <x:c r="C44" s="45" t="str">
        <x:v>EMP-007</x:v>
      </x:c>
      <x:c r="D44" s="45" t="str">
        <x:v>ELECTRICIAN</x:v>
      </x:c>
      <x:c r="E44" s="45" t="str">
        <x:v>Day</x:v>
      </x:c>
      <x:c r="F44" s="117" t="n">
        <x:v>8</x:v>
      </x:c>
      <x:c r="G44" s="117" t="n">
        <x:v>1</x:v>
      </x:c>
      <x:c r="H44" s="23" t="str">
        <x:v>W-004</x:v>
      </x:c>
    </x:row>
    <x:row r="45">
      <x:c r="A45" s="152" t="str">
        <x:v>AT-00042</x:v>
      </x:c>
      <x:c r="B45" s="49" t="n">
        <x:v>46137</x:v>
      </x:c>
      <x:c r="C45" s="45" t="str">
        <x:v>EMP-011</x:v>
      </x:c>
      <x:c r="D45" s="45" t="str">
        <x:v>HELPER</x:v>
      </x:c>
      <x:c r="E45" s="45" t="str">
        <x:v>Day</x:v>
      </x:c>
      <x:c r="F45" s="117" t="n">
        <x:v>8</x:v>
      </x:c>
      <x:c r="G45" s="117" t="n">
        <x:v>0</x:v>
      </x:c>
      <x:c r="H45" s="23" t="str">
        <x:v>W-009</x:v>
      </x:c>
    </x:row>
    <x:row r="46">
      <x:c r="A46" s="152" t="str">
        <x:v>AT-00043</x:v>
      </x:c>
      <x:c r="B46" s="49" t="n">
        <x:v>46137</x:v>
      </x:c>
      <x:c r="C46" s="45" t="str">
        <x:v>EMP-006</x:v>
      </x:c>
      <x:c r="D46" s="45" t="str">
        <x:v>ELECTRICIAN</x:v>
      </x:c>
      <x:c r="E46" s="45" t="str">
        <x:v>Day</x:v>
      </x:c>
      <x:c r="F46" s="117" t="n">
        <x:v>8</x:v>
      </x:c>
      <x:c r="G46" s="117" t="n">
        <x:v>1</x:v>
      </x:c>
      <x:c r="H46" s="23" t="str">
        <x:v>W-006</x:v>
      </x:c>
    </x:row>
    <x:row r="47">
      <x:c r="A47" s="152" t="str">
        <x:v>AT-00044</x:v>
      </x:c>
      <x:c r="B47" s="49" t="n">
        <x:v>46137</x:v>
      </x:c>
      <x:c r="C47" s="45" t="str">
        <x:v>EMP-013</x:v>
      </x:c>
      <x:c r="D47" s="45" t="str">
        <x:v>HELPER</x:v>
      </x:c>
      <x:c r="E47" s="45" t="str">
        <x:v>Day</x:v>
      </x:c>
      <x:c r="F47" s="117" t="n">
        <x:v>8</x:v>
      </x:c>
      <x:c r="G47" s="117" t="n">
        <x:v>1.5</x:v>
      </x:c>
      <x:c r="H47" s="23" t="str">
        <x:v>W-008</x:v>
      </x:c>
    </x:row>
    <x:row r="48">
      <x:c r="A48" s="152" t="str">
        <x:v>AT-00045</x:v>
      </x:c>
      <x:c r="B48" s="49" t="n">
        <x:v>46137</x:v>
      </x:c>
      <x:c r="C48" s="45" t="str">
        <x:v>EMP-001</x:v>
      </x:c>
      <x:c r="D48" s="45" t="str">
        <x:v>SITE-MGR</x:v>
      </x:c>
      <x:c r="E48" s="45" t="str">
        <x:v>Day</x:v>
      </x:c>
      <x:c r="F48" s="117" t="n">
        <x:v>8</x:v>
      </x:c>
      <x:c r="G48" s="117" t="n">
        <x:v>1</x:v>
      </x:c>
      <x:c r="H48" s="23" t="str">
        <x:v>W-002</x:v>
      </x:c>
    </x:row>
    <x:row r="49">
      <x:c r="A49" s="152" t="str">
        <x:v>AT-00046</x:v>
      </x:c>
      <x:c r="B49" s="49" t="n">
        <x:v>46137</x:v>
      </x:c>
      <x:c r="C49" s="45" t="str">
        <x:v>EMP-010</x:v>
      </x:c>
      <x:c r="D49" s="45" t="str">
        <x:v>TILER</x:v>
      </x:c>
      <x:c r="E49" s="45" t="str">
        <x:v>Day</x:v>
      </x:c>
      <x:c r="F49" s="117" t="n">
        <x:v>8</x:v>
      </x:c>
      <x:c r="G49" s="117" t="n">
        <x:v>0</x:v>
      </x:c>
      <x:c r="H49" s="23" t="str">
        <x:v>W-012</x:v>
      </x:c>
    </x:row>
    <x:row r="50">
      <x:c r="A50" s="152" t="str">
        <x:v>AT-00047</x:v>
      </x:c>
      <x:c r="B50" s="49" t="n">
        <x:v>46138</x:v>
      </x:c>
      <x:c r="C50" s="45" t="str">
        <x:v>EMP-008</x:v>
      </x:c>
      <x:c r="D50" s="45" t="str">
        <x:v>PLUMBER</x:v>
      </x:c>
      <x:c r="E50" s="45" t="str">
        <x:v>Day</x:v>
      </x:c>
      <x:c r="F50" s="117" t="n">
        <x:v>5</x:v>
      </x:c>
      <x:c r="G50" s="117" t="n">
        <x:v>2</x:v>
      </x:c>
      <x:c r="H50" s="23" t="str">
        <x:v>W-017</x:v>
      </x:c>
    </x:row>
    <x:row r="51">
      <x:c r="A51" s="152" t="str">
        <x:v>AT-00048</x:v>
      </x:c>
      <x:c r="B51" s="49" t="n">
        <x:v>46138</x:v>
      </x:c>
      <x:c r="C51" s="45" t="str">
        <x:v>EMP-001</x:v>
      </x:c>
      <x:c r="D51" s="45" t="str">
        <x:v>SITE-MGR</x:v>
      </x:c>
      <x:c r="E51" s="45" t="str">
        <x:v>Day</x:v>
      </x:c>
      <x:c r="F51" s="117" t="n">
        <x:v>5</x:v>
      </x:c>
      <x:c r="G51" s="117" t="n">
        <x:v>2</x:v>
      </x:c>
      <x:c r="H51" s="23" t="str">
        <x:v>W-002</x:v>
      </x:c>
    </x:row>
    <x:row r="52">
      <x:c r="A52" s="152" t="str">
        <x:v>AT-00049</x:v>
      </x:c>
      <x:c r="B52" s="49" t="n">
        <x:v>46138</x:v>
      </x:c>
      <x:c r="C52" s="45" t="str">
        <x:v>EMP-007</x:v>
      </x:c>
      <x:c r="D52" s="45" t="str">
        <x:v>ELECTRICIAN</x:v>
      </x:c>
      <x:c r="E52" s="45" t="str">
        <x:v>Day</x:v>
      </x:c>
      <x:c r="F52" s="117" t="n">
        <x:v>5</x:v>
      </x:c>
      <x:c r="G52" s="117" t="n">
        <x:v>1</x:v>
      </x:c>
      <x:c r="H52" s="23" t="str">
        <x:v>W-004</x:v>
      </x:c>
    </x:row>
    <x:row r="53">
      <x:c r="A53" s="152" t="str">
        <x:v>AT-00050</x:v>
      </x:c>
      <x:c r="B53" s="49" t="n">
        <x:v>46138</x:v>
      </x:c>
      <x:c r="C53" s="45" t="str">
        <x:v>EMP-006</x:v>
      </x:c>
      <x:c r="D53" s="45" t="str">
        <x:v>ELECTRICIAN</x:v>
      </x:c>
      <x:c r="E53" s="45" t="str">
        <x:v>Day</x:v>
      </x:c>
      <x:c r="F53" s="117" t="n">
        <x:v>5</x:v>
      </x:c>
      <x:c r="G53" s="117" t="n">
        <x:v>1.5</x:v>
      </x:c>
      <x:c r="H53" s="23" t="str">
        <x:v>W-016</x:v>
      </x:c>
    </x:row>
    <x:row r="54">
      <x:c r="A54" s="152" t="str">
        <x:v>AT-00051</x:v>
      </x:c>
      <x:c r="B54" s="49" t="n">
        <x:v>46138</x:v>
      </x:c>
      <x:c r="C54" s="45" t="str">
        <x:v>EMP-011</x:v>
      </x:c>
      <x:c r="D54" s="45" t="str">
        <x:v>HELPER</x:v>
      </x:c>
      <x:c r="E54" s="45" t="str">
        <x:v>Day</x:v>
      </x:c>
      <x:c r="F54" s="117" t="n">
        <x:v>5</x:v>
      </x:c>
      <x:c r="G54" s="117" t="n">
        <x:v>0</x:v>
      </x:c>
      <x:c r="H54" s="23" t="str">
        <x:v>W-011</x:v>
      </x:c>
    </x:row>
    <x:row r="55">
      <x:c r="A55" s="152" t="str">
        <x:v>AT-00052</x:v>
      </x:c>
      <x:c r="B55" s="49" t="n">
        <x:v>46139</x:v>
      </x:c>
      <x:c r="C55" s="45" t="str">
        <x:v>EMP-010</x:v>
      </x:c>
      <x:c r="D55" s="45" t="str">
        <x:v>TILER</x:v>
      </x:c>
      <x:c r="E55" s="45" t="str">
        <x:v>Day</x:v>
      </x:c>
      <x:c r="F55" s="117" t="n">
        <x:v>8</x:v>
      </x:c>
      <x:c r="G55" s="117" t="n">
        <x:v>1</x:v>
      </x:c>
      <x:c r="H55" s="23" t="str">
        <x:v>W-012</x:v>
      </x:c>
    </x:row>
    <x:row r="56">
      <x:c r="A56" s="152" t="str">
        <x:v>AT-00053</x:v>
      </x:c>
      <x:c r="B56" s="49" t="n">
        <x:v>46139</x:v>
      </x:c>
      <x:c r="C56" s="45" t="str">
        <x:v>EMP-011</x:v>
      </x:c>
      <x:c r="D56" s="45" t="str">
        <x:v>HELPER</x:v>
      </x:c>
      <x:c r="E56" s="45" t="str">
        <x:v>Day</x:v>
      </x:c>
      <x:c r="F56" s="117" t="n">
        <x:v>8</x:v>
      </x:c>
      <x:c r="G56" s="117" t="n">
        <x:v>0</x:v>
      </x:c>
      <x:c r="H56" s="23" t="str">
        <x:v>W-011</x:v>
      </x:c>
    </x:row>
    <x:row r="57">
      <x:c r="A57" s="152" t="str">
        <x:v>AT-00054</x:v>
      </x:c>
      <x:c r="B57" s="49" t="n">
        <x:v>46139</x:v>
      </x:c>
      <x:c r="C57" s="45" t="str">
        <x:v>EMP-001</x:v>
      </x:c>
      <x:c r="D57" s="45" t="str">
        <x:v>SITE-MGR</x:v>
      </x:c>
      <x:c r="E57" s="45" t="str">
        <x:v>Day</x:v>
      </x:c>
      <x:c r="F57" s="117" t="n">
        <x:v>8</x:v>
      </x:c>
      <x:c r="G57" s="117" t="n">
        <x:v>0</x:v>
      </x:c>
      <x:c r="H57" s="23" t="str">
        <x:v>W-008</x:v>
      </x:c>
    </x:row>
    <x:row r="58">
      <x:c r="A58" s="152" t="str">
        <x:v>AT-00055</x:v>
      </x:c>
      <x:c r="B58" s="49" t="n">
        <x:v>46139</x:v>
      </x:c>
      <x:c r="C58" s="45" t="str">
        <x:v>EMP-002</x:v>
      </x:c>
      <x:c r="D58" s="45" t="str">
        <x:v>ENGINEER</x:v>
      </x:c>
      <x:c r="E58" s="45" t="str">
        <x:v>Day</x:v>
      </x:c>
      <x:c r="F58" s="117" t="n">
        <x:v>8</x:v>
      </x:c>
      <x:c r="G58" s="117" t="n">
        <x:v>0</x:v>
      </x:c>
      <x:c r="H58" s="23" t="str">
        <x:v>W-004</x:v>
      </x:c>
    </x:row>
    <x:row r="59">
      <x:c r="A59" s="152" t="str">
        <x:v>AT-00056</x:v>
      </x:c>
      <x:c r="B59" s="49" t="n">
        <x:v>46139</x:v>
      </x:c>
      <x:c r="C59" s="45" t="str">
        <x:v>EMP-014</x:v>
      </x:c>
      <x:c r="D59" s="45" t="str">
        <x:v>SAFETY</x:v>
      </x:c>
      <x:c r="E59" s="45" t="str">
        <x:v>Day</x:v>
      </x:c>
      <x:c r="F59" s="117" t="n">
        <x:v>8</x:v>
      </x:c>
      <x:c r="G59" s="117" t="n">
        <x:v>1</x:v>
      </x:c>
      <x:c r="H59" s="23" t="str">
        <x:v>W-001</x:v>
      </x:c>
    </x:row>
    <x:row r="60">
      <x:c r="A60" s="152" t="str">
        <x:v>AT-00057</x:v>
      </x:c>
      <x:c r="B60" s="49" t="n">
        <x:v>46139</x:v>
      </x:c>
      <x:c r="C60" s="45" t="str">
        <x:v>EMP-007</x:v>
      </x:c>
      <x:c r="D60" s="45" t="str">
        <x:v>ELECTRICIAN</x:v>
      </x:c>
      <x:c r="E60" s="45" t="str">
        <x:v>Day</x:v>
      </x:c>
      <x:c r="F60" s="117" t="n">
        <x:v>8</x:v>
      </x:c>
      <x:c r="G60" s="117" t="n">
        <x:v>2</x:v>
      </x:c>
      <x:c r="H60" s="23" t="str">
        <x:v>W-016</x:v>
      </x:c>
    </x:row>
    <x:row r="61">
      <x:c r="A61" s="152" t="str">
        <x:v>AT-00058</x:v>
      </x:c>
      <x:c r="B61" s="49" t="n">
        <x:v>46139</x:v>
      </x:c>
      <x:c r="C61" s="45" t="str">
        <x:v>EMP-003</x:v>
      </x:c>
      <x:c r="D61" s="45" t="str">
        <x:v>FOREMAN</x:v>
      </x:c>
      <x:c r="E61" s="45" t="str">
        <x:v>Day</x:v>
      </x:c>
      <x:c r="F61" s="117" t="n">
        <x:v>8</x:v>
      </x:c>
      <x:c r="G61" s="117" t="n">
        <x:v>0</x:v>
      </x:c>
      <x:c r="H61" s="23" t="str">
        <x:v>W-008</x:v>
      </x:c>
    </x:row>
    <x:row r="62">
      <x:c r="A62" s="152" t="str">
        <x:v>AT-00059</x:v>
      </x:c>
      <x:c r="B62" s="49" t="n">
        <x:v>46139</x:v>
      </x:c>
      <x:c r="C62" s="45" t="str">
        <x:v>EMP-008</x:v>
      </x:c>
      <x:c r="D62" s="45" t="str">
        <x:v>PLUMBER</x:v>
      </x:c>
      <x:c r="E62" s="45" t="str">
        <x:v>Day</x:v>
      </x:c>
      <x:c r="F62" s="117" t="n">
        <x:v>8</x:v>
      </x:c>
      <x:c r="G62" s="117" t="n">
        <x:v>0</x:v>
      </x:c>
      <x:c r="H62" s="23" t="str">
        <x:v>W-007</x:v>
      </x:c>
    </x:row>
    <x:row r="63">
      <x:c r="A63" s="152" t="str">
        <x:v>AT-00060</x:v>
      </x:c>
      <x:c r="B63" s="49" t="n">
        <x:v>46139</x:v>
      </x:c>
      <x:c r="C63" s="45" t="str">
        <x:v>EMP-012</x:v>
      </x:c>
      <x:c r="D63" s="45" t="str">
        <x:v>HELPER</x:v>
      </x:c>
      <x:c r="E63" s="45" t="str">
        <x:v>Day</x:v>
      </x:c>
      <x:c r="F63" s="117" t="n">
        <x:v>8</x:v>
      </x:c>
      <x:c r="G63" s="117" t="n">
        <x:v>2</x:v>
      </x:c>
      <x:c r="H63" s="23" t="str">
        <x:v>W-002</x:v>
      </x:c>
    </x:row>
    <x:row r="64">
      <x:c r="A64" s="152" t="str">
        <x:v>AT-00061</x:v>
      </x:c>
      <x:c r="B64" s="49" t="n">
        <x:v>46139</x:v>
      </x:c>
      <x:c r="C64" s="45" t="str">
        <x:v>EMP-013</x:v>
      </x:c>
      <x:c r="D64" s="45" t="str">
        <x:v>HELPER</x:v>
      </x:c>
      <x:c r="E64" s="45" t="str">
        <x:v>Day</x:v>
      </x:c>
      <x:c r="F64" s="117" t="n">
        <x:v>8</x:v>
      </x:c>
      <x:c r="G64" s="117" t="n">
        <x:v>0</x:v>
      </x:c>
      <x:c r="H64" s="23" t="str">
        <x:v>W-008</x:v>
      </x:c>
    </x:row>
    <x:row r="65">
      <x:c r="A65" s="152" t="str">
        <x:v>AT-00062</x:v>
      </x:c>
      <x:c r="B65" s="49" t="n">
        <x:v>46139</x:v>
      </x:c>
      <x:c r="C65" s="45" t="str">
        <x:v>EMP-009</x:v>
      </x:c>
      <x:c r="D65" s="45" t="str">
        <x:v>PAINTER</x:v>
      </x:c>
      <x:c r="E65" s="45" t="str">
        <x:v>Day</x:v>
      </x:c>
      <x:c r="F65" s="117" t="n">
        <x:v>8</x:v>
      </x:c>
      <x:c r="G65" s="117" t="n">
        <x:v>0</x:v>
      </x:c>
      <x:c r="H65" s="23" t="str">
        <x:v>W-010</x:v>
      </x:c>
    </x:row>
    <x:row r="66">
      <x:c r="A66" s="152" t="str">
        <x:v>AT-00063</x:v>
      </x:c>
      <x:c r="B66" s="49" t="n">
        <x:v>46139</x:v>
      </x:c>
      <x:c r="C66" s="45" t="str">
        <x:v>EMP-004</x:v>
      </x:c>
      <x:c r="D66" s="45" t="str">
        <x:v>CARPENTER</x:v>
      </x:c>
      <x:c r="E66" s="45" t="str">
        <x:v>Day</x:v>
      </x:c>
      <x:c r="F66" s="117" t="n">
        <x:v>8</x:v>
      </x:c>
      <x:c r="G66" s="117" t="n">
        <x:v>1.5</x:v>
      </x:c>
      <x:c r="H66" s="23" t="str">
        <x:v>W-005</x:v>
      </x:c>
    </x:row>
    <x:row r="67">
      <x:c r="A67" s="152" t="str">
        <x:v>AT-00064</x:v>
      </x:c>
      <x:c r="B67" s="49" t="n">
        <x:v>46139</x:v>
      </x:c>
      <x:c r="C67" s="45" t="str">
        <x:v>EMP-015</x:v>
      </x:c>
      <x:c r="D67" s="45" t="str">
        <x:v>CARPENTER</x:v>
      </x:c>
      <x:c r="E67" s="45" t="str">
        <x:v>Day</x:v>
      </x:c>
      <x:c r="F67" s="117" t="n">
        <x:v>8</x:v>
      </x:c>
      <x:c r="G67" s="117" t="n">
        <x:v>0</x:v>
      </x:c>
      <x:c r="H67" s="23" t="str">
        <x:v>W-005</x:v>
      </x:c>
    </x:row>
    <x:row r="68">
      <x:c r="A68" s="152" t="str">
        <x:v>AT-00065</x:v>
      </x:c>
      <x:c r="B68" s="49" t="n">
        <x:v>46139</x:v>
      </x:c>
      <x:c r="C68" s="45" t="str">
        <x:v>EMP-006</x:v>
      </x:c>
      <x:c r="D68" s="45" t="str">
        <x:v>ELECTRICIAN</x:v>
      </x:c>
      <x:c r="E68" s="45" t="str">
        <x:v>Day</x:v>
      </x:c>
      <x:c r="F68" s="117" t="n">
        <x:v>8</x:v>
      </x:c>
      <x:c r="G68" s="117" t="n">
        <x:v>1</x:v>
      </x:c>
      <x:c r="H68" s="23" t="str">
        <x:v>W-016</x:v>
      </x:c>
    </x:row>
    <x:row r="69">
      <x:c r="A69" s="152" t="str">
        <x:v>AT-00066</x:v>
      </x:c>
      <x:c r="B69" s="49" t="n">
        <x:v>46140</x:v>
      </x:c>
      <x:c r="C69" s="45" t="str">
        <x:v>EMP-010</x:v>
      </x:c>
      <x:c r="D69" s="45" t="str">
        <x:v>TILER</x:v>
      </x:c>
      <x:c r="E69" s="45" t="str">
        <x:v>Day</x:v>
      </x:c>
      <x:c r="F69" s="117" t="n">
        <x:v>8</x:v>
      </x:c>
      <x:c r="G69" s="117" t="n">
        <x:v>0</x:v>
      </x:c>
      <x:c r="H69" s="23" t="str">
        <x:v>W-011</x:v>
      </x:c>
    </x:row>
    <x:row r="70">
      <x:c r="A70" s="152" t="str">
        <x:v>AT-00067</x:v>
      </x:c>
      <x:c r="B70" s="49" t="n">
        <x:v>46140</x:v>
      </x:c>
      <x:c r="C70" s="45" t="str">
        <x:v>EMP-004</x:v>
      </x:c>
      <x:c r="D70" s="45" t="str">
        <x:v>CARPENTER</x:v>
      </x:c>
      <x:c r="E70" s="45" t="str">
        <x:v>Day</x:v>
      </x:c>
      <x:c r="F70" s="117" t="n">
        <x:v>8</x:v>
      </x:c>
      <x:c r="G70" s="117" t="n">
        <x:v>1.5</x:v>
      </x:c>
      <x:c r="H70" s="23" t="str">
        <x:v>W-005</x:v>
      </x:c>
    </x:row>
    <x:row r="71">
      <x:c r="A71" s="152" t="str">
        <x:v>AT-00068</x:v>
      </x:c>
      <x:c r="B71" s="49" t="n">
        <x:v>46140</x:v>
      </x:c>
      <x:c r="C71" s="45" t="str">
        <x:v>EMP-008</x:v>
      </x:c>
      <x:c r="D71" s="45" t="str">
        <x:v>PLUMBER</x:v>
      </x:c>
      <x:c r="E71" s="45" t="str">
        <x:v>Day</x:v>
      </x:c>
      <x:c r="F71" s="117" t="n">
        <x:v>8</x:v>
      </x:c>
      <x:c r="G71" s="117" t="n">
        <x:v>0</x:v>
      </x:c>
      <x:c r="H71" s="23" t="str">
        <x:v>W-017</x:v>
      </x:c>
    </x:row>
    <x:row r="72">
      <x:c r="A72" s="152" t="str">
        <x:v>AT-00069</x:v>
      </x:c>
      <x:c r="B72" s="49" t="n">
        <x:v>46140</x:v>
      </x:c>
      <x:c r="C72" s="45" t="str">
        <x:v>EMP-012</x:v>
      </x:c>
      <x:c r="D72" s="45" t="str">
        <x:v>HELPER</x:v>
      </x:c>
      <x:c r="E72" s="45" t="str">
        <x:v>Day</x:v>
      </x:c>
      <x:c r="F72" s="117" t="n">
        <x:v>8</x:v>
      </x:c>
      <x:c r="G72" s="117" t="n">
        <x:v>1</x:v>
      </x:c>
      <x:c r="H72" s="23" t="str">
        <x:v>W-008</x:v>
      </x:c>
    </x:row>
    <x:row r="73">
      <x:c r="A73" s="152" t="str">
        <x:v>AT-00070</x:v>
      </x:c>
      <x:c r="B73" s="49" t="n">
        <x:v>46140</x:v>
      </x:c>
      <x:c r="C73" s="45" t="str">
        <x:v>EMP-005</x:v>
      </x:c>
      <x:c r="D73" s="45" t="str">
        <x:v>CARPENTER</x:v>
      </x:c>
      <x:c r="E73" s="45" t="str">
        <x:v>Day</x:v>
      </x:c>
      <x:c r="F73" s="117" t="n">
        <x:v>8</x:v>
      </x:c>
      <x:c r="G73" s="117" t="n">
        <x:v>0</x:v>
      </x:c>
      <x:c r="H73" s="23" t="str">
        <x:v>W-019</x:v>
      </x:c>
    </x:row>
    <x:row r="74">
      <x:c r="A74" s="152" t="str">
        <x:v>AT-00071</x:v>
      </x:c>
      <x:c r="B74" s="49" t="n">
        <x:v>46140</x:v>
      </x:c>
      <x:c r="C74" s="45" t="str">
        <x:v>EMP-006</x:v>
      </x:c>
      <x:c r="D74" s="45" t="str">
        <x:v>ELECTRICIAN</x:v>
      </x:c>
      <x:c r="E74" s="45" t="str">
        <x:v>Day</x:v>
      </x:c>
      <x:c r="F74" s="117" t="n">
        <x:v>8</x:v>
      </x:c>
      <x:c r="G74" s="117" t="n">
        <x:v>2</x:v>
      </x:c>
      <x:c r="H74" s="23" t="str">
        <x:v>W-016</x:v>
      </x:c>
    </x:row>
    <x:row r="75">
      <x:c r="A75" s="152" t="str">
        <x:v>AT-00072</x:v>
      </x:c>
      <x:c r="B75" s="49" t="n">
        <x:v>46140</x:v>
      </x:c>
      <x:c r="C75" s="45" t="str">
        <x:v>EMP-003</x:v>
      </x:c>
      <x:c r="D75" s="45" t="str">
        <x:v>FOREMAN</x:v>
      </x:c>
      <x:c r="E75" s="45" t="str">
        <x:v>Day</x:v>
      </x:c>
      <x:c r="F75" s="117" t="n">
        <x:v>8</x:v>
      </x:c>
      <x:c r="G75" s="117" t="n">
        <x:v>0</x:v>
      </x:c>
      <x:c r="H75" s="23" t="str">
        <x:v>W-002</x:v>
      </x:c>
    </x:row>
    <x:row r="76">
      <x:c r="A76" s="152" t="str">
        <x:v>AT-00073</x:v>
      </x:c>
      <x:c r="B76" s="49" t="n">
        <x:v>46140</x:v>
      </x:c>
      <x:c r="C76" s="45" t="str">
        <x:v>EMP-002</x:v>
      </x:c>
      <x:c r="D76" s="45" t="str">
        <x:v>ENGINEER</x:v>
      </x:c>
      <x:c r="E76" s="45" t="str">
        <x:v>Day</x:v>
      </x:c>
      <x:c r="F76" s="117" t="n">
        <x:v>8</x:v>
      </x:c>
      <x:c r="G76" s="117" t="n">
        <x:v>2</x:v>
      </x:c>
      <x:c r="H76" s="23" t="str">
        <x:v>W-007</x:v>
      </x:c>
    </x:row>
    <x:row r="77">
      <x:c r="A77" s="152" t="str">
        <x:v>AT-00074</x:v>
      </x:c>
      <x:c r="B77" s="49" t="n">
        <x:v>46140</x:v>
      </x:c>
      <x:c r="C77" s="45" t="str">
        <x:v>EMP-007</x:v>
      </x:c>
      <x:c r="D77" s="45" t="str">
        <x:v>ELECTRICIAN</x:v>
      </x:c>
      <x:c r="E77" s="45" t="str">
        <x:v>Day</x:v>
      </x:c>
      <x:c r="F77" s="117" t="n">
        <x:v>8</x:v>
      </x:c>
      <x:c r="G77" s="117" t="n">
        <x:v>2</x:v>
      </x:c>
      <x:c r="H77" s="23" t="str">
        <x:v>W-016</x:v>
      </x:c>
    </x:row>
    <x:row r="78">
      <x:c r="A78" s="152" t="str">
        <x:v>AT-00075</x:v>
      </x:c>
      <x:c r="B78" s="49" t="n">
        <x:v>46140</x:v>
      </x:c>
      <x:c r="C78" s="45" t="str">
        <x:v>EMP-013</x:v>
      </x:c>
      <x:c r="D78" s="45" t="str">
        <x:v>HELPER</x:v>
      </x:c>
      <x:c r="E78" s="45" t="str">
        <x:v>Day</x:v>
      </x:c>
      <x:c r="F78" s="117" t="n">
        <x:v>8</x:v>
      </x:c>
      <x:c r="G78" s="117" t="n">
        <x:v>0</x:v>
      </x:c>
      <x:c r="H78" s="23" t="str">
        <x:v>W-002</x:v>
      </x:c>
    </x:row>
    <x:row r="79">
      <x:c r="A79" s="152" t="str">
        <x:v>AT-00076</x:v>
      </x:c>
      <x:c r="B79" s="49" t="n">
        <x:v>46141</x:v>
      </x:c>
      <x:c r="C79" s="45" t="str">
        <x:v>EMP-009</x:v>
      </x:c>
      <x:c r="D79" s="45" t="str">
        <x:v>PAINTER</x:v>
      </x:c>
      <x:c r="E79" s="45" t="str">
        <x:v>Day</x:v>
      </x:c>
      <x:c r="F79" s="117" t="n">
        <x:v>8</x:v>
      </x:c>
      <x:c r="G79" s="117" t="n">
        <x:v>1</x:v>
      </x:c>
      <x:c r="H79" s="23" t="str">
        <x:v>W-014</x:v>
      </x:c>
    </x:row>
    <x:row r="80">
      <x:c r="A80" s="152" t="str">
        <x:v>AT-00077</x:v>
      </x:c>
      <x:c r="B80" s="49" t="n">
        <x:v>46141</x:v>
      </x:c>
      <x:c r="C80" s="45" t="str">
        <x:v>EMP-007</x:v>
      </x:c>
      <x:c r="D80" s="45" t="str">
        <x:v>ELECTRICIAN</x:v>
      </x:c>
      <x:c r="E80" s="45" t="str">
        <x:v>Day</x:v>
      </x:c>
      <x:c r="F80" s="117" t="n">
        <x:v>8</x:v>
      </x:c>
      <x:c r="G80" s="117" t="n">
        <x:v>2</x:v>
      </x:c>
      <x:c r="H80" s="23" t="str">
        <x:v>W-006</x:v>
      </x:c>
    </x:row>
    <x:row r="81">
      <x:c r="A81" s="152" t="str">
        <x:v>AT-00078</x:v>
      </x:c>
      <x:c r="B81" s="49" t="n">
        <x:v>46141</x:v>
      </x:c>
      <x:c r="C81" s="45" t="str">
        <x:v>EMP-011</x:v>
      </x:c>
      <x:c r="D81" s="45" t="str">
        <x:v>HELPER</x:v>
      </x:c>
      <x:c r="E81" s="45" t="str">
        <x:v>Day</x:v>
      </x:c>
      <x:c r="F81" s="117" t="n">
        <x:v>8</x:v>
      </x:c>
      <x:c r="G81" s="117" t="n">
        <x:v>2</x:v>
      </x:c>
      <x:c r="H81" s="23" t="str">
        <x:v>W-005</x:v>
      </x:c>
    </x:row>
    <x:row r="82">
      <x:c r="A82" s="152" t="str">
        <x:v>AT-00079</x:v>
      </x:c>
      <x:c r="B82" s="49" t="n">
        <x:v>46141</x:v>
      </x:c>
      <x:c r="C82" s="45" t="str">
        <x:v>EMP-006</x:v>
      </x:c>
      <x:c r="D82" s="45" t="str">
        <x:v>ELECTRICIAN</x:v>
      </x:c>
      <x:c r="E82" s="45" t="str">
        <x:v>Day</x:v>
      </x:c>
      <x:c r="F82" s="117" t="n">
        <x:v>8</x:v>
      </x:c>
      <x:c r="G82" s="117" t="n">
        <x:v>1</x:v>
      </x:c>
      <x:c r="H82" s="23" t="str">
        <x:v>W-004</x:v>
      </x:c>
    </x:row>
    <x:row r="83">
      <x:c r="A83" s="152" t="str">
        <x:v>AT-00080</x:v>
      </x:c>
      <x:c r="B83" s="49" t="n">
        <x:v>46141</x:v>
      </x:c>
      <x:c r="C83" s="45" t="str">
        <x:v>EMP-002</x:v>
      </x:c>
      <x:c r="D83" s="45" t="str">
        <x:v>ENGINEER</x:v>
      </x:c>
      <x:c r="E83" s="45" t="str">
        <x:v>Day</x:v>
      </x:c>
      <x:c r="F83" s="117" t="n">
        <x:v>8</x:v>
      </x:c>
      <x:c r="G83" s="117" t="n">
        <x:v>2</x:v>
      </x:c>
      <x:c r="H83" s="23" t="str">
        <x:v>W-017</x:v>
      </x:c>
    </x:row>
    <x:row r="84">
      <x:c r="A84" s="152" t="str">
        <x:v>AT-00081</x:v>
      </x:c>
      <x:c r="B84" s="49" t="n">
        <x:v>46141</x:v>
      </x:c>
      <x:c r="C84" s="45" t="str">
        <x:v>EMP-015</x:v>
      </x:c>
      <x:c r="D84" s="45" t="str">
        <x:v>CARPENTER</x:v>
      </x:c>
      <x:c r="E84" s="45" t="str">
        <x:v>Day</x:v>
      </x:c>
      <x:c r="F84" s="117" t="n">
        <x:v>8</x:v>
      </x:c>
      <x:c r="G84" s="117" t="n">
        <x:v>2</x:v>
      </x:c>
      <x:c r="H84" s="23" t="str">
        <x:v>W-008</x:v>
      </x:c>
    </x:row>
    <x:row r="85">
      <x:c r="A85" s="152" t="str">
        <x:v>AT-00082</x:v>
      </x:c>
      <x:c r="B85" s="49" t="n">
        <x:v>46141</x:v>
      </x:c>
      <x:c r="C85" s="45" t="str">
        <x:v>EMP-012</x:v>
      </x:c>
      <x:c r="D85" s="45" t="str">
        <x:v>HELPER</x:v>
      </x:c>
      <x:c r="E85" s="45" t="str">
        <x:v>Day</x:v>
      </x:c>
      <x:c r="F85" s="117" t="n">
        <x:v>8</x:v>
      </x:c>
      <x:c r="G85" s="117" t="n">
        <x:v>1.5</x:v>
      </x:c>
      <x:c r="H85" s="23" t="str">
        <x:v>W-012</x:v>
      </x:c>
    </x:row>
    <x:row r="86">
      <x:c r="A86" s="152" t="str">
        <x:v>AT-00083</x:v>
      </x:c>
      <x:c r="B86" s="49" t="n">
        <x:v>46141</x:v>
      </x:c>
      <x:c r="C86" s="45" t="str">
        <x:v>EMP-001</x:v>
      </x:c>
      <x:c r="D86" s="45" t="str">
        <x:v>SITE-MGR</x:v>
      </x:c>
      <x:c r="E86" s="45" t="str">
        <x:v>Day</x:v>
      </x:c>
      <x:c r="F86" s="117" t="n">
        <x:v>8</x:v>
      </x:c>
      <x:c r="G86" s="117" t="n">
        <x:v>1</x:v>
      </x:c>
      <x:c r="H86" s="23" t="str">
        <x:v>W-008</x:v>
      </x:c>
    </x:row>
    <x:row r="87">
      <x:c r="A87" s="152" t="str">
        <x:v>AT-00084</x:v>
      </x:c>
      <x:c r="B87" s="49" t="n">
        <x:v>46141</x:v>
      </x:c>
      <x:c r="C87" s="45" t="str">
        <x:v>EMP-014</x:v>
      </x:c>
      <x:c r="D87" s="45" t="str">
        <x:v>SAFETY</x:v>
      </x:c>
      <x:c r="E87" s="45" t="str">
        <x:v>Day</x:v>
      </x:c>
      <x:c r="F87" s="117" t="n">
        <x:v>8</x:v>
      </x:c>
      <x:c r="G87" s="117" t="n">
        <x:v>2</x:v>
      </x:c>
      <x:c r="H87" s="23" t="str">
        <x:v>W-003</x:v>
      </x:c>
    </x:row>
    <x:row r="88">
      <x:c r="A88" s="152" t="str">
        <x:v>AT-00085</x:v>
      </x:c>
      <x:c r="B88" s="49" t="n">
        <x:v>46141</x:v>
      </x:c>
      <x:c r="C88" s="45" t="str">
        <x:v>EMP-004</x:v>
      </x:c>
      <x:c r="D88" s="45" t="str">
        <x:v>CARPENTER</x:v>
      </x:c>
      <x:c r="E88" s="45" t="str">
        <x:v>Day</x:v>
      </x:c>
      <x:c r="F88" s="117" t="n">
        <x:v>8</x:v>
      </x:c>
      <x:c r="G88" s="117" t="n">
        <x:v>0</x:v>
      </x:c>
      <x:c r="H88" s="23" t="str">
        <x:v>W-005</x:v>
      </x:c>
    </x:row>
    <x:row r="89">
      <x:c r="A89" s="152" t="str">
        <x:v>AT-00086</x:v>
      </x:c>
      <x:c r="B89" s="49" t="n">
        <x:v>46141</x:v>
      </x:c>
      <x:c r="C89" s="45" t="str">
        <x:v>EMP-010</x:v>
      </x:c>
      <x:c r="D89" s="45" t="str">
        <x:v>TILER</x:v>
      </x:c>
      <x:c r="E89" s="45" t="str">
        <x:v>Day</x:v>
      </x:c>
      <x:c r="F89" s="117" t="n">
        <x:v>8</x:v>
      </x:c>
      <x:c r="G89" s="117" t="n">
        <x:v>0</x:v>
      </x:c>
      <x:c r="H89" s="23" t="str">
        <x:v>W-012</x:v>
      </x:c>
    </x:row>
    <x:row r="90">
      <x:c r="A90" s="152" t="str">
        <x:v>AT-00087</x:v>
      </x:c>
      <x:c r="B90" s="49" t="n">
        <x:v>46141</x:v>
      </x:c>
      <x:c r="C90" s="45" t="str">
        <x:v>EMP-008</x:v>
      </x:c>
      <x:c r="D90" s="45" t="str">
        <x:v>PLUMBER</x:v>
      </x:c>
      <x:c r="E90" s="45" t="str">
        <x:v>Day</x:v>
      </x:c>
      <x:c r="F90" s="117" t="n">
        <x:v>8</x:v>
      </x:c>
      <x:c r="G90" s="117" t="n">
        <x:v>1</x:v>
      </x:c>
      <x:c r="H90" s="23" t="str">
        <x:v>W-007</x:v>
      </x:c>
    </x:row>
    <x:row r="91">
      <x:c r="A91" s="152" t="str">
        <x:v>AT-00088</x:v>
      </x:c>
      <x:c r="B91" s="49" t="n">
        <x:v>46142</x:v>
      </x:c>
      <x:c r="C91" s="45" t="str">
        <x:v>EMP-010</x:v>
      </x:c>
      <x:c r="D91" s="45" t="str">
        <x:v>TILER</x:v>
      </x:c>
      <x:c r="E91" s="45" t="str">
        <x:v>Day</x:v>
      </x:c>
      <x:c r="F91" s="117" t="n">
        <x:v>8</x:v>
      </x:c>
      <x:c r="G91" s="117" t="n">
        <x:v>0</x:v>
      </x:c>
      <x:c r="H91" s="23" t="str">
        <x:v>W-012</x:v>
      </x:c>
    </x:row>
    <x:row r="92">
      <x:c r="A92" s="152" t="str">
        <x:v>AT-00089</x:v>
      </x:c>
      <x:c r="B92" s="49" t="n">
        <x:v>46142</x:v>
      </x:c>
      <x:c r="C92" s="45" t="str">
        <x:v>EMP-015</x:v>
      </x:c>
      <x:c r="D92" s="45" t="str">
        <x:v>CARPENTER</x:v>
      </x:c>
      <x:c r="E92" s="45" t="str">
        <x:v>Day</x:v>
      </x:c>
      <x:c r="F92" s="117" t="n">
        <x:v>8</x:v>
      </x:c>
      <x:c r="G92" s="117" t="n">
        <x:v>1.5</x:v>
      </x:c>
      <x:c r="H92" s="23" t="str">
        <x:v>W-019</x:v>
      </x:c>
    </x:row>
    <x:row r="93">
      <x:c r="A93" s="152" t="str">
        <x:v>AT-00090</x:v>
      </x:c>
      <x:c r="B93" s="49" t="n">
        <x:v>46142</x:v>
      </x:c>
      <x:c r="C93" s="45" t="str">
        <x:v>EMP-011</x:v>
      </x:c>
      <x:c r="D93" s="45" t="str">
        <x:v>HELPER</x:v>
      </x:c>
      <x:c r="E93" s="45" t="str">
        <x:v>Day</x:v>
      </x:c>
      <x:c r="F93" s="117" t="n">
        <x:v>8</x:v>
      </x:c>
      <x:c r="G93" s="117" t="n">
        <x:v>0</x:v>
      </x:c>
      <x:c r="H93" s="23" t="str">
        <x:v>W-002</x:v>
      </x:c>
    </x:row>
    <x:row r="94">
      <x:c r="A94" s="152" t="str">
        <x:v>AT-00091</x:v>
      </x:c>
      <x:c r="B94" s="49" t="n">
        <x:v>46142</x:v>
      </x:c>
      <x:c r="C94" s="45" t="str">
        <x:v>EMP-007</x:v>
      </x:c>
      <x:c r="D94" s="45" t="str">
        <x:v>ELECTRICIAN</x:v>
      </x:c>
      <x:c r="E94" s="45" t="str">
        <x:v>Day</x:v>
      </x:c>
      <x:c r="F94" s="117" t="n">
        <x:v>8</x:v>
      </x:c>
      <x:c r="G94" s="117" t="n">
        <x:v>1.5</x:v>
      </x:c>
      <x:c r="H94" s="23" t="str">
        <x:v>W-004</x:v>
      </x:c>
    </x:row>
    <x:row r="95">
      <x:c r="A95" s="152" t="str">
        <x:v>AT-00092</x:v>
      </x:c>
      <x:c r="B95" s="49" t="n">
        <x:v>46142</x:v>
      </x:c>
      <x:c r="C95" s="45" t="str">
        <x:v>EMP-006</x:v>
      </x:c>
      <x:c r="D95" s="45" t="str">
        <x:v>ELECTRICIAN</x:v>
      </x:c>
      <x:c r="E95" s="45" t="str">
        <x:v>Day</x:v>
      </x:c>
      <x:c r="F95" s="117" t="n">
        <x:v>8</x:v>
      </x:c>
      <x:c r="G95" s="117" t="n">
        <x:v>0</x:v>
      </x:c>
      <x:c r="H95" s="23" t="str">
        <x:v>W-004</x:v>
      </x:c>
    </x:row>
    <x:row r="96">
      <x:c r="A96" s="152" t="str">
        <x:v>AT-00093</x:v>
      </x:c>
      <x:c r="B96" s="49" t="n">
        <x:v>46142</x:v>
      </x:c>
      <x:c r="C96" s="45" t="str">
        <x:v>EMP-001</x:v>
      </x:c>
      <x:c r="D96" s="45" t="str">
        <x:v>SITE-MGR</x:v>
      </x:c>
      <x:c r="E96" s="45" t="str">
        <x:v>Day</x:v>
      </x:c>
      <x:c r="F96" s="117" t="n">
        <x:v>8</x:v>
      </x:c>
      <x:c r="G96" s="117" t="n">
        <x:v>2</x:v>
      </x:c>
      <x:c r="H96" s="23" t="str">
        <x:v>W-008</x:v>
      </x:c>
    </x:row>
    <x:row r="97">
      <x:c r="A97" s="152" t="str">
        <x:v>AT-00094</x:v>
      </x:c>
      <x:c r="B97" s="49" t="n">
        <x:v>46142</x:v>
      </x:c>
      <x:c r="C97" s="45" t="str">
        <x:v>EMP-008</x:v>
      </x:c>
      <x:c r="D97" s="45" t="str">
        <x:v>PLUMBER</x:v>
      </x:c>
      <x:c r="E97" s="45" t="str">
        <x:v>Day</x:v>
      </x:c>
      <x:c r="F97" s="117" t="n">
        <x:v>8</x:v>
      </x:c>
      <x:c r="G97" s="117" t="n">
        <x:v>1</x:v>
      </x:c>
      <x:c r="H97" s="23" t="str">
        <x:v>W-007</x:v>
      </x:c>
    </x:row>
    <x:row r="98">
      <x:c r="A98" s="152" t="str">
        <x:v>AT-00095</x:v>
      </x:c>
      <x:c r="B98" s="49" t="n">
        <x:v>46142</x:v>
      </x:c>
      <x:c r="C98" s="45" t="str">
        <x:v>EMP-013</x:v>
      </x:c>
      <x:c r="D98" s="45" t="str">
        <x:v>HELPER</x:v>
      </x:c>
      <x:c r="E98" s="45" t="str">
        <x:v>Day</x:v>
      </x:c>
      <x:c r="F98" s="117" t="n">
        <x:v>8</x:v>
      </x:c>
      <x:c r="G98" s="117" t="n">
        <x:v>2</x:v>
      </x:c>
      <x:c r="H98" s="23" t="str">
        <x:v>W-012</x:v>
      </x:c>
    </x:row>
    <x:row r="99">
      <x:c r="A99" s="152" t="str">
        <x:v>AT-00096</x:v>
      </x:c>
      <x:c r="B99" s="49" t="n">
        <x:v>46142</x:v>
      </x:c>
      <x:c r="C99" s="45" t="str">
        <x:v>EMP-002</x:v>
      </x:c>
      <x:c r="D99" s="45" t="str">
        <x:v>ENGINEER</x:v>
      </x:c>
      <x:c r="E99" s="45" t="str">
        <x:v>Day</x:v>
      </x:c>
      <x:c r="F99" s="117" t="n">
        <x:v>8</x:v>
      </x:c>
      <x:c r="G99" s="117" t="n">
        <x:v>2</x:v>
      </x:c>
      <x:c r="H99" s="23" t="str">
        <x:v>W-016</x:v>
      </x:c>
    </x:row>
    <x:row r="100">
      <x:c r="A100" s="152" t="str">
        <x:v>AT-00097</x:v>
      </x:c>
      <x:c r="B100" s="49" t="n">
        <x:v>46142</x:v>
      </x:c>
      <x:c r="C100" s="45" t="str">
        <x:v>EMP-004</x:v>
      </x:c>
      <x:c r="D100" s="45" t="str">
        <x:v>CARPENTER</x:v>
      </x:c>
      <x:c r="E100" s="45" t="str">
        <x:v>Day</x:v>
      </x:c>
      <x:c r="F100" s="117" t="n">
        <x:v>8</x:v>
      </x:c>
      <x:c r="G100" s="117" t="n">
        <x:v>1</x:v>
      </x:c>
      <x:c r="H100" s="23" t="str">
        <x:v>W-005</x:v>
      </x:c>
    </x:row>
    <x:row r="101">
      <x:c r="A101" s="152" t="str">
        <x:v>AT-00098</x:v>
      </x:c>
      <x:c r="B101" s="49" t="n">
        <x:v>46142</x:v>
      </x:c>
      <x:c r="C101" s="45" t="str">
        <x:v>EMP-012</x:v>
      </x:c>
      <x:c r="D101" s="45" t="str">
        <x:v>HELPER</x:v>
      </x:c>
      <x:c r="E101" s="45" t="str">
        <x:v>Day</x:v>
      </x:c>
      <x:c r="F101" s="117" t="n">
        <x:v>8</x:v>
      </x:c>
      <x:c r="G101" s="117" t="n">
        <x:v>0</x:v>
      </x:c>
      <x:c r="H101" s="23" t="str">
        <x:v>W-009</x:v>
      </x:c>
    </x:row>
    <x:row r="102">
      <x:c r="A102" s="152" t="str">
        <x:v>AT-00099</x:v>
      </x:c>
      <x:c r="B102" s="49" t="n">
        <x:v>46142</x:v>
      </x:c>
      <x:c r="C102" s="45" t="str">
        <x:v>EMP-003</x:v>
      </x:c>
      <x:c r="D102" s="45" t="str">
        <x:v>FOREMAN</x:v>
      </x:c>
      <x:c r="E102" s="45" t="str">
        <x:v>Day</x:v>
      </x:c>
      <x:c r="F102" s="117" t="n">
        <x:v>8</x:v>
      </x:c>
      <x:c r="G102" s="117" t="n">
        <x:v>0</x:v>
      </x:c>
      <x:c r="H102" s="23" t="str">
        <x:v>W-009</x:v>
      </x:c>
    </x:row>
    <x:row r="103">
      <x:c r="A103" s="152" t="str">
        <x:v>AT-00100</x:v>
      </x:c>
      <x:c r="B103" s="49" t="n">
        <x:v>46142</x:v>
      </x:c>
      <x:c r="C103" s="45" t="str">
        <x:v>EMP-005</x:v>
      </x:c>
      <x:c r="D103" s="45" t="str">
        <x:v>CARPENTER</x:v>
      </x:c>
      <x:c r="E103" s="45" t="str">
        <x:v>Day</x:v>
      </x:c>
      <x:c r="F103" s="117" t="n">
        <x:v>8</x:v>
      </x:c>
      <x:c r="G103" s="117" t="n">
        <x:v>2</x:v>
      </x:c>
      <x:c r="H103" s="23" t="str">
        <x:v>W-005</x:v>
      </x:c>
    </x:row>
    <x:row r="104">
      <x:c r="A104" s="152" t="str">
        <x:v>AT-00101</x:v>
      </x:c>
      <x:c r="B104" s="49" t="n">
        <x:v>46143</x:v>
      </x:c>
      <x:c r="C104" s="45" t="str">
        <x:v>EMP-011</x:v>
      </x:c>
      <x:c r="D104" s="45" t="str">
        <x:v>HELPER</x:v>
      </x:c>
      <x:c r="E104" s="45" t="str">
        <x:v>Day</x:v>
      </x:c>
      <x:c r="F104" s="117" t="n">
        <x:v>8</x:v>
      </x:c>
      <x:c r="G104" s="117" t="n">
        <x:v>2</x:v>
      </x:c>
      <x:c r="H104" s="23" t="str">
        <x:v>W-012</x:v>
      </x:c>
    </x:row>
    <x:row r="105">
      <x:c r="A105" s="152" t="str">
        <x:v>AT-00102</x:v>
      </x:c>
      <x:c r="B105" s="49" t="n">
        <x:v>46143</x:v>
      </x:c>
      <x:c r="C105" s="45" t="str">
        <x:v>EMP-010</x:v>
      </x:c>
      <x:c r="D105" s="45" t="str">
        <x:v>TILER</x:v>
      </x:c>
      <x:c r="E105" s="45" t="str">
        <x:v>Day</x:v>
      </x:c>
      <x:c r="F105" s="117" t="n">
        <x:v>8</x:v>
      </x:c>
      <x:c r="G105" s="117" t="n">
        <x:v>0</x:v>
      </x:c>
      <x:c r="H105" s="23" t="str">
        <x:v>W-012</x:v>
      </x:c>
    </x:row>
    <x:row r="106">
      <x:c r="A106" s="152" t="str">
        <x:v>AT-00103</x:v>
      </x:c>
      <x:c r="B106" s="49" t="n">
        <x:v>46143</x:v>
      </x:c>
      <x:c r="C106" s="45" t="str">
        <x:v>EMP-006</x:v>
      </x:c>
      <x:c r="D106" s="45" t="str">
        <x:v>ELECTRICIAN</x:v>
      </x:c>
      <x:c r="E106" s="45" t="str">
        <x:v>Day</x:v>
      </x:c>
      <x:c r="F106" s="117" t="n">
        <x:v>8</x:v>
      </x:c>
      <x:c r="G106" s="117" t="n">
        <x:v>0</x:v>
      </x:c>
      <x:c r="H106" s="23" t="str">
        <x:v>W-004</x:v>
      </x:c>
    </x:row>
    <x:row r="107">
      <x:c r="A107" s="152" t="str">
        <x:v>AT-00104</x:v>
      </x:c>
      <x:c r="B107" s="49" t="n">
        <x:v>46143</x:v>
      </x:c>
      <x:c r="C107" s="45" t="str">
        <x:v>EMP-008</x:v>
      </x:c>
      <x:c r="D107" s="45" t="str">
        <x:v>PLUMBER</x:v>
      </x:c>
      <x:c r="E107" s="45" t="str">
        <x:v>Day</x:v>
      </x:c>
      <x:c r="F107" s="117" t="n">
        <x:v>8</x:v>
      </x:c>
      <x:c r="G107" s="117" t="n">
        <x:v>0</x:v>
      </x:c>
      <x:c r="H107" s="23" t="str">
        <x:v>W-007</x:v>
      </x:c>
    </x:row>
    <x:row r="108">
      <x:c r="A108" s="152" t="str">
        <x:v>AT-00105</x:v>
      </x:c>
      <x:c r="B108" s="49" t="n">
        <x:v>46143</x:v>
      </x:c>
      <x:c r="C108" s="45" t="str">
        <x:v>EMP-009</x:v>
      </x:c>
      <x:c r="D108" s="45" t="str">
        <x:v>PAINTER</x:v>
      </x:c>
      <x:c r="E108" s="45" t="str">
        <x:v>Day</x:v>
      </x:c>
      <x:c r="F108" s="117" t="n">
        <x:v>8</x:v>
      </x:c>
      <x:c r="G108" s="117" t="n">
        <x:v>0</x:v>
      </x:c>
      <x:c r="H108" s="23" t="str">
        <x:v>W-010</x:v>
      </x:c>
    </x:row>
    <x:row r="109">
      <x:c r="A109" s="152" t="str">
        <x:v>AT-00106</x:v>
      </x:c>
      <x:c r="B109" s="49" t="n">
        <x:v>46143</x:v>
      </x:c>
      <x:c r="C109" s="45" t="str">
        <x:v>EMP-015</x:v>
      </x:c>
      <x:c r="D109" s="45" t="str">
        <x:v>CARPENTER</x:v>
      </x:c>
      <x:c r="E109" s="45" t="str">
        <x:v>Day</x:v>
      </x:c>
      <x:c r="F109" s="117" t="n">
        <x:v>8</x:v>
      </x:c>
      <x:c r="G109" s="117" t="n">
        <x:v>2</x:v>
      </x:c>
      <x:c r="H109" s="23" t="str">
        <x:v>W-019</x:v>
      </x:c>
    </x:row>
    <x:row r="110">
      <x:c r="A110" s="152" t="str">
        <x:v>AT-00107</x:v>
      </x:c>
      <x:c r="B110" s="49" t="n">
        <x:v>46143</x:v>
      </x:c>
      <x:c r="C110" s="45" t="str">
        <x:v>EMP-013</x:v>
      </x:c>
      <x:c r="D110" s="45" t="str">
        <x:v>HELPER</x:v>
      </x:c>
      <x:c r="E110" s="45" t="str">
        <x:v>Day</x:v>
      </x:c>
      <x:c r="F110" s="117" t="n">
        <x:v>8</x:v>
      </x:c>
      <x:c r="G110" s="117" t="n">
        <x:v>2</x:v>
      </x:c>
      <x:c r="H110" s="23" t="str">
        <x:v>W-005</x:v>
      </x:c>
    </x:row>
    <x:row r="111">
      <x:c r="A111" s="152" t="str">
        <x:v>AT-00108</x:v>
      </x:c>
      <x:c r="B111" s="49" t="n">
        <x:v>46143</x:v>
      </x:c>
      <x:c r="C111" s="45" t="str">
        <x:v>EMP-007</x:v>
      </x:c>
      <x:c r="D111" s="45" t="str">
        <x:v>ELECTRICIAN</x:v>
      </x:c>
      <x:c r="E111" s="45" t="str">
        <x:v>Day</x:v>
      </x:c>
      <x:c r="F111" s="117" t="n">
        <x:v>8</x:v>
      </x:c>
      <x:c r="G111" s="117" t="n">
        <x:v>0</x:v>
      </x:c>
      <x:c r="H111" s="23" t="str">
        <x:v>W-004</x:v>
      </x:c>
    </x:row>
    <x:row r="112">
      <x:c r="A112" s="152" t="str">
        <x:v>AT-00109</x:v>
      </x:c>
      <x:c r="B112" s="49" t="n">
        <x:v>46143</x:v>
      </x:c>
      <x:c r="C112" s="45" t="str">
        <x:v>EMP-014</x:v>
      </x:c>
      <x:c r="D112" s="45" t="str">
        <x:v>SAFETY</x:v>
      </x:c>
      <x:c r="E112" s="45" t="str">
        <x:v>Day</x:v>
      </x:c>
      <x:c r="F112" s="117" t="n">
        <x:v>8</x:v>
      </x:c>
      <x:c r="G112" s="117" t="n">
        <x:v>2</x:v>
      </x:c>
      <x:c r="H112" s="23" t="str">
        <x:v>W-020</x:v>
      </x:c>
    </x:row>
    <x:row r="113">
      <x:c r="A113" s="152" t="str">
        <x:v>AT-00110</x:v>
      </x:c>
      <x:c r="B113" s="49" t="n">
        <x:v>46143</x:v>
      </x:c>
      <x:c r="C113" s="45" t="str">
        <x:v>EMP-005</x:v>
      </x:c>
      <x:c r="D113" s="45" t="str">
        <x:v>CARPENTER</x:v>
      </x:c>
      <x:c r="E113" s="45" t="str">
        <x:v>Day</x:v>
      </x:c>
      <x:c r="F113" s="117" t="n">
        <x:v>8</x:v>
      </x:c>
      <x:c r="G113" s="117" t="n">
        <x:v>0</x:v>
      </x:c>
      <x:c r="H113" s="23" t="str">
        <x:v>W-019</x:v>
      </x:c>
    </x:row>
    <x:row r="114">
      <x:c r="A114" s="152" t="str">
        <x:v>AT-00111</x:v>
      </x:c>
      <x:c r="B114" s="49" t="n">
        <x:v>46143</x:v>
      </x:c>
      <x:c r="C114" s="45" t="str">
        <x:v>EMP-003</x:v>
      </x:c>
      <x:c r="D114" s="45" t="str">
        <x:v>FOREMAN</x:v>
      </x:c>
      <x:c r="E114" s="45" t="str">
        <x:v>Day</x:v>
      </x:c>
      <x:c r="F114" s="117" t="n">
        <x:v>8</x:v>
      </x:c>
      <x:c r="G114" s="117" t="n">
        <x:v>1.5</x:v>
      </x:c>
      <x:c r="H114" s="23" t="str">
        <x:v>W-010</x:v>
      </x:c>
    </x:row>
    <x:row r="115">
      <x:c r="A115" s="152" t="str">
        <x:v>AT-00112</x:v>
      </x:c>
      <x:c r="B115" s="49" t="n">
        <x:v>46143</x:v>
      </x:c>
      <x:c r="C115" s="45" t="str">
        <x:v>EMP-012</x:v>
      </x:c>
      <x:c r="D115" s="45" t="str">
        <x:v>HELPER</x:v>
      </x:c>
      <x:c r="E115" s="45" t="str">
        <x:v>Day</x:v>
      </x:c>
      <x:c r="F115" s="117" t="n">
        <x:v>8</x:v>
      </x:c>
      <x:c r="G115" s="117" t="n">
        <x:v>1.5</x:v>
      </x:c>
      <x:c r="H115" s="23" t="str">
        <x:v>W-009</x:v>
      </x:c>
    </x:row>
    <x:row r="116">
      <x:c r="A116" s="152" t="str">
        <x:v>AT-00113</x:v>
      </x:c>
      <x:c r="B116" s="49" t="n">
        <x:v>46144</x:v>
      </x:c>
      <x:c r="C116" s="45" t="str">
        <x:v>EMP-014</x:v>
      </x:c>
      <x:c r="D116" s="45" t="str">
        <x:v>SAFETY</x:v>
      </x:c>
      <x:c r="E116" s="45" t="str">
        <x:v>Day</x:v>
      </x:c>
      <x:c r="F116" s="117" t="n">
        <x:v>8</x:v>
      </x:c>
      <x:c r="G116" s="117" t="n">
        <x:v>0</x:v>
      </x:c>
      <x:c r="H116" s="23" t="str">
        <x:v>W-003</x:v>
      </x:c>
    </x:row>
    <x:row r="117">
      <x:c r="A117" s="152" t="str">
        <x:v>AT-00114</x:v>
      </x:c>
      <x:c r="B117" s="49" t="n">
        <x:v>46144</x:v>
      </x:c>
      <x:c r="C117" s="45" t="str">
        <x:v>EMP-004</x:v>
      </x:c>
      <x:c r="D117" s="45" t="str">
        <x:v>CARPENTER</x:v>
      </x:c>
      <x:c r="E117" s="45" t="str">
        <x:v>Day</x:v>
      </x:c>
      <x:c r="F117" s="117" t="n">
        <x:v>8</x:v>
      </x:c>
      <x:c r="G117" s="117" t="n">
        <x:v>0</x:v>
      </x:c>
      <x:c r="H117" s="23" t="str">
        <x:v>W-005</x:v>
      </x:c>
    </x:row>
    <x:row r="118">
      <x:c r="A118" s="152" t="str">
        <x:v>AT-00115</x:v>
      </x:c>
      <x:c r="B118" s="49" t="n">
        <x:v>46144</x:v>
      </x:c>
      <x:c r="C118" s="45" t="str">
        <x:v>EMP-005</x:v>
      </x:c>
      <x:c r="D118" s="45" t="str">
        <x:v>CARPENTER</x:v>
      </x:c>
      <x:c r="E118" s="45" t="str">
        <x:v>Day</x:v>
      </x:c>
      <x:c r="F118" s="117" t="n">
        <x:v>8</x:v>
      </x:c>
      <x:c r="G118" s="117" t="n">
        <x:v>1.5</x:v>
      </x:c>
      <x:c r="H118" s="23" t="str">
        <x:v>W-008</x:v>
      </x:c>
    </x:row>
    <x:row r="119">
      <x:c r="A119" s="152" t="str">
        <x:v>AT-00116</x:v>
      </x:c>
      <x:c r="B119" s="49" t="n">
        <x:v>46144</x:v>
      </x:c>
      <x:c r="C119" s="45" t="str">
        <x:v>EMP-015</x:v>
      </x:c>
      <x:c r="D119" s="45" t="str">
        <x:v>CARPENTER</x:v>
      </x:c>
      <x:c r="E119" s="45" t="str">
        <x:v>Day</x:v>
      </x:c>
      <x:c r="F119" s="117" t="n">
        <x:v>8</x:v>
      </x:c>
      <x:c r="G119" s="117" t="n">
        <x:v>2</x:v>
      </x:c>
      <x:c r="H119" s="23" t="str">
        <x:v>W-005</x:v>
      </x:c>
    </x:row>
    <x:row r="120">
      <x:c r="A120" s="152" t="str">
        <x:v>AT-00117</x:v>
      </x:c>
      <x:c r="B120" s="49" t="n">
        <x:v>46144</x:v>
      </x:c>
      <x:c r="C120" s="45" t="str">
        <x:v>EMP-006</x:v>
      </x:c>
      <x:c r="D120" s="45" t="str">
        <x:v>ELECTRICIAN</x:v>
      </x:c>
      <x:c r="E120" s="45" t="str">
        <x:v>Day</x:v>
      </x:c>
      <x:c r="F120" s="117" t="n">
        <x:v>8</x:v>
      </x:c>
      <x:c r="G120" s="117" t="n">
        <x:v>2</x:v>
      </x:c>
      <x:c r="H120" s="23" t="str">
        <x:v>W-006</x:v>
      </x:c>
    </x:row>
    <x:row r="121">
      <x:c r="A121" s="152" t="str">
        <x:v>AT-00118</x:v>
      </x:c>
      <x:c r="B121" s="49" t="n">
        <x:v>46144</x:v>
      </x:c>
      <x:c r="C121" s="45" t="str">
        <x:v>EMP-003</x:v>
      </x:c>
      <x:c r="D121" s="45" t="str">
        <x:v>FOREMAN</x:v>
      </x:c>
      <x:c r="E121" s="45" t="str">
        <x:v>Day</x:v>
      </x:c>
      <x:c r="F121" s="117" t="n">
        <x:v>8</x:v>
      </x:c>
      <x:c r="G121" s="117" t="n">
        <x:v>0</x:v>
      </x:c>
      <x:c r="H121" s="23" t="str">
        <x:v>W-002</x:v>
      </x:c>
    </x:row>
    <x:row r="122">
      <x:c r="A122" s="152" t="str">
        <x:v>AT-00119</x:v>
      </x:c>
      <x:c r="B122" s="49" t="n">
        <x:v>46144</x:v>
      </x:c>
      <x:c r="C122" s="45" t="str">
        <x:v>EMP-013</x:v>
      </x:c>
      <x:c r="D122" s="45" t="str">
        <x:v>HELPER</x:v>
      </x:c>
      <x:c r="E122" s="45" t="str">
        <x:v>Day</x:v>
      </x:c>
      <x:c r="F122" s="117" t="n">
        <x:v>8</x:v>
      </x:c>
      <x:c r="G122" s="117" t="n">
        <x:v>1.5</x:v>
      </x:c>
      <x:c r="H122" s="23" t="str">
        <x:v>W-009</x:v>
      </x:c>
    </x:row>
    <x:row r="123">
      <x:c r="A123" s="152" t="str">
        <x:v>AT-00120</x:v>
      </x:c>
      <x:c r="B123" s="49" t="n">
        <x:v>46144</x:v>
      </x:c>
      <x:c r="C123" s="45" t="str">
        <x:v>EMP-001</x:v>
      </x:c>
      <x:c r="D123" s="45" t="str">
        <x:v>SITE-MGR</x:v>
      </x:c>
      <x:c r="E123" s="45" t="str">
        <x:v>Day</x:v>
      </x:c>
      <x:c r="F123" s="117" t="n">
        <x:v>8</x:v>
      </x:c>
      <x:c r="G123" s="117" t="n">
        <x:v>1</x:v>
      </x:c>
      <x:c r="H123" s="23" t="str">
        <x:v>W-008</x:v>
      </x:c>
    </x:row>
    <x:row r="124">
      <x:c r="A124" s="152" t="str">
        <x:v>AT-00121</x:v>
      </x:c>
      <x:c r="B124" s="49" t="n">
        <x:v>46144</x:v>
      </x:c>
      <x:c r="C124" s="45" t="str">
        <x:v>EMP-011</x:v>
      </x:c>
      <x:c r="D124" s="45" t="str">
        <x:v>HELPER</x:v>
      </x:c>
      <x:c r="E124" s="45" t="str">
        <x:v>Day</x:v>
      </x:c>
      <x:c r="F124" s="117" t="n">
        <x:v>8</x:v>
      </x:c>
      <x:c r="G124" s="117" t="n">
        <x:v>1</x:v>
      </x:c>
      <x:c r="H124" s="23" t="str">
        <x:v>W-010</x:v>
      </x:c>
    </x:row>
    <x:row r="125">
      <x:c r="A125" s="152" t="str">
        <x:v>AT-00122</x:v>
      </x:c>
      <x:c r="B125" s="49" t="n">
        <x:v>46144</x:v>
      </x:c>
      <x:c r="C125" s="45" t="str">
        <x:v>EMP-009</x:v>
      </x:c>
      <x:c r="D125" s="45" t="str">
        <x:v>PAINTER</x:v>
      </x:c>
      <x:c r="E125" s="45" t="str">
        <x:v>Day</x:v>
      </x:c>
      <x:c r="F125" s="117" t="n">
        <x:v>8</x:v>
      </x:c>
      <x:c r="G125" s="117" t="n">
        <x:v>0</x:v>
      </x:c>
      <x:c r="H125" s="23" t="str">
        <x:v>W-010</x:v>
      </x:c>
    </x:row>
    <x:row r="126">
      <x:c r="A126" s="152" t="str">
        <x:v>AT-00123</x:v>
      </x:c>
      <x:c r="B126" s="49" t="n">
        <x:v>46145</x:v>
      </x:c>
      <x:c r="C126" s="45" t="str">
        <x:v>EMP-005</x:v>
      </x:c>
      <x:c r="D126" s="45" t="str">
        <x:v>CARPENTER</x:v>
      </x:c>
      <x:c r="E126" s="45" t="str">
        <x:v>Day</x:v>
      </x:c>
      <x:c r="F126" s="117" t="n">
        <x:v>5</x:v>
      </x:c>
      <x:c r="G126" s="117" t="n">
        <x:v>1</x:v>
      </x:c>
      <x:c r="H126" s="23" t="str">
        <x:v>W-008</x:v>
      </x:c>
    </x:row>
    <x:row r="127">
      <x:c r="A127" s="152" t="str">
        <x:v>AT-00124</x:v>
      </x:c>
      <x:c r="B127" s="49" t="n">
        <x:v>46145</x:v>
      </x:c>
      <x:c r="C127" s="45" t="str">
        <x:v>EMP-014</x:v>
      </x:c>
      <x:c r="D127" s="45" t="str">
        <x:v>SAFETY</x:v>
      </x:c>
      <x:c r="E127" s="45" t="str">
        <x:v>Day</x:v>
      </x:c>
      <x:c r="F127" s="117" t="n">
        <x:v>5</x:v>
      </x:c>
      <x:c r="G127" s="117" t="n">
        <x:v>0</x:v>
      </x:c>
      <x:c r="H127" s="23" t="str">
        <x:v>W-001</x:v>
      </x:c>
    </x:row>
    <x:row r="128">
      <x:c r="A128" s="152" t="str">
        <x:v>AT-00125</x:v>
      </x:c>
      <x:c r="B128" s="49" t="n">
        <x:v>46145</x:v>
      </x:c>
      <x:c r="C128" s="45" t="str">
        <x:v>EMP-008</x:v>
      </x:c>
      <x:c r="D128" s="45" t="str">
        <x:v>PLUMBER</x:v>
      </x:c>
      <x:c r="E128" s="45" t="str">
        <x:v>Day</x:v>
      </x:c>
      <x:c r="F128" s="117" t="n">
        <x:v>5</x:v>
      </x:c>
      <x:c r="G128" s="117" t="n">
        <x:v>0</x:v>
      </x:c>
      <x:c r="H128" s="23" t="str">
        <x:v>W-007</x:v>
      </x:c>
    </x:row>
    <x:row r="129">
      <x:c r="A129" s="152" t="str">
        <x:v>AT-00126</x:v>
      </x:c>
      <x:c r="B129" s="49" t="n">
        <x:v>46145</x:v>
      </x:c>
      <x:c r="C129" s="45" t="str">
        <x:v>EMP-002</x:v>
      </x:c>
      <x:c r="D129" s="45" t="str">
        <x:v>ENGINEER</x:v>
      </x:c>
      <x:c r="E129" s="45" t="str">
        <x:v>Day</x:v>
      </x:c>
      <x:c r="F129" s="117" t="n">
        <x:v>5</x:v>
      </x:c>
      <x:c r="G129" s="117" t="n">
        <x:v>1.5</x:v>
      </x:c>
      <x:c r="H129" s="23" t="str">
        <x:v>W-007</x:v>
      </x:c>
    </x:row>
    <x:row r="130">
      <x:c r="A130" s="152" t="str">
        <x:v>AT-00127</x:v>
      </x:c>
      <x:c r="B130" s="49" t="n">
        <x:v>46145</x:v>
      </x:c>
      <x:c r="C130" s="45" t="str">
        <x:v>EMP-012</x:v>
      </x:c>
      <x:c r="D130" s="45" t="str">
        <x:v>HELPER</x:v>
      </x:c>
      <x:c r="E130" s="45" t="str">
        <x:v>Day</x:v>
      </x:c>
      <x:c r="F130" s="117" t="n">
        <x:v>5</x:v>
      </x:c>
      <x:c r="G130" s="117" t="n">
        <x:v>0</x:v>
      </x:c>
      <x:c r="H130" s="23" t="str">
        <x:v>W-008</x:v>
      </x:c>
    </x:row>
    <x:row r="131">
      <x:c r="A131" s="152" t="str">
        <x:v>AT-00128</x:v>
      </x:c>
      <x:c r="B131" s="49" t="n">
        <x:v>46146</x:v>
      </x:c>
      <x:c r="C131" s="45" t="str">
        <x:v>EMP-009</x:v>
      </x:c>
      <x:c r="D131" s="45" t="str">
        <x:v>PAINTER</x:v>
      </x:c>
      <x:c r="E131" s="45" t="str">
        <x:v>Day</x:v>
      </x:c>
      <x:c r="F131" s="117" t="n">
        <x:v>8</x:v>
      </x:c>
      <x:c r="G131" s="117" t="n">
        <x:v>0</x:v>
      </x:c>
      <x:c r="H131" s="23" t="str">
        <x:v>W-015</x:v>
      </x:c>
    </x:row>
    <x:row r="132">
      <x:c r="A132" s="152" t="str">
        <x:v>AT-00129</x:v>
      </x:c>
      <x:c r="B132" s="49" t="n">
        <x:v>46146</x:v>
      </x:c>
      <x:c r="C132" s="45" t="str">
        <x:v>EMP-013</x:v>
      </x:c>
      <x:c r="D132" s="45" t="str">
        <x:v>HELPER</x:v>
      </x:c>
      <x:c r="E132" s="45" t="str">
        <x:v>Day</x:v>
      </x:c>
      <x:c r="F132" s="117" t="n">
        <x:v>8</x:v>
      </x:c>
      <x:c r="G132" s="117" t="n">
        <x:v>1</x:v>
      </x:c>
      <x:c r="H132" s="23" t="str">
        <x:v>W-009</x:v>
      </x:c>
    </x:row>
    <x:row r="133">
      <x:c r="A133" s="152" t="str">
        <x:v>AT-00130</x:v>
      </x:c>
      <x:c r="B133" s="49" t="n">
        <x:v>46146</x:v>
      </x:c>
      <x:c r="C133" s="45" t="str">
        <x:v>EMP-007</x:v>
      </x:c>
      <x:c r="D133" s="45" t="str">
        <x:v>ELECTRICIAN</x:v>
      </x:c>
      <x:c r="E133" s="45" t="str">
        <x:v>Day</x:v>
      </x:c>
      <x:c r="F133" s="117" t="n">
        <x:v>8</x:v>
      </x:c>
      <x:c r="G133" s="117" t="n">
        <x:v>1.5</x:v>
      </x:c>
      <x:c r="H133" s="23" t="str">
        <x:v>W-016</x:v>
      </x:c>
    </x:row>
    <x:row r="134">
      <x:c r="A134" s="152" t="str">
        <x:v>AT-00131</x:v>
      </x:c>
      <x:c r="B134" s="49" t="n">
        <x:v>46146</x:v>
      </x:c>
      <x:c r="C134" s="45" t="str">
        <x:v>EMP-010</x:v>
      </x:c>
      <x:c r="D134" s="45" t="str">
        <x:v>TILER</x:v>
      </x:c>
      <x:c r="E134" s="45" t="str">
        <x:v>Day</x:v>
      </x:c>
      <x:c r="F134" s="117" t="n">
        <x:v>8</x:v>
      </x:c>
      <x:c r="G134" s="117" t="n">
        <x:v>0</x:v>
      </x:c>
      <x:c r="H134" s="23" t="str">
        <x:v>W-018</x:v>
      </x:c>
    </x:row>
    <x:row r="135">
      <x:c r="A135" s="152" t="str">
        <x:v>AT-00132</x:v>
      </x:c>
      <x:c r="B135" s="49" t="n">
        <x:v>46146</x:v>
      </x:c>
      <x:c r="C135" s="45" t="str">
        <x:v>EMP-012</x:v>
      </x:c>
      <x:c r="D135" s="45" t="str">
        <x:v>HELPER</x:v>
      </x:c>
      <x:c r="E135" s="45" t="str">
        <x:v>Day</x:v>
      </x:c>
      <x:c r="F135" s="117" t="n">
        <x:v>8</x:v>
      </x:c>
      <x:c r="G135" s="117" t="n">
        <x:v>2</x:v>
      </x:c>
      <x:c r="H135" s="23" t="str">
        <x:v>W-003</x:v>
      </x:c>
    </x:row>
    <x:row r="136">
      <x:c r="A136" s="152" t="str">
        <x:v>AT-00133</x:v>
      </x:c>
      <x:c r="B136" s="49" t="n">
        <x:v>46146</x:v>
      </x:c>
      <x:c r="C136" s="45" t="str">
        <x:v>EMP-011</x:v>
      </x:c>
      <x:c r="D136" s="45" t="str">
        <x:v>HELPER</x:v>
      </x:c>
      <x:c r="E136" s="45" t="str">
        <x:v>Day</x:v>
      </x:c>
      <x:c r="F136" s="117" t="n">
        <x:v>8</x:v>
      </x:c>
      <x:c r="G136" s="117" t="n">
        <x:v>0</x:v>
      </x:c>
      <x:c r="H136" s="23" t="str">
        <x:v>W-008</x:v>
      </x:c>
    </x:row>
    <x:row r="137">
      <x:c r="A137" s="152" t="str">
        <x:v>AT-00134</x:v>
      </x:c>
      <x:c r="B137" s="49" t="n">
        <x:v>46146</x:v>
      </x:c>
      <x:c r="C137" s="45" t="str">
        <x:v>EMP-004</x:v>
      </x:c>
      <x:c r="D137" s="45" t="str">
        <x:v>CARPENTER</x:v>
      </x:c>
      <x:c r="E137" s="45" t="str">
        <x:v>Day</x:v>
      </x:c>
      <x:c r="F137" s="117" t="n">
        <x:v>8</x:v>
      </x:c>
      <x:c r="G137" s="117" t="n">
        <x:v>0</x:v>
      </x:c>
      <x:c r="H137" s="23" t="str">
        <x:v>W-019</x:v>
      </x:c>
    </x:row>
    <x:row r="138">
      <x:c r="A138" s="152" t="str">
        <x:v>AT-00135</x:v>
      </x:c>
      <x:c r="B138" s="49" t="n">
        <x:v>46146</x:v>
      </x:c>
      <x:c r="C138" s="45" t="str">
        <x:v>EMP-014</x:v>
      </x:c>
      <x:c r="D138" s="45" t="str">
        <x:v>SAFETY</x:v>
      </x:c>
      <x:c r="E138" s="45" t="str">
        <x:v>Day</x:v>
      </x:c>
      <x:c r="F138" s="117" t="n">
        <x:v>8</x:v>
      </x:c>
      <x:c r="G138" s="117" t="n">
        <x:v>0</x:v>
      </x:c>
      <x:c r="H138" s="23" t="str">
        <x:v>W-002</x:v>
      </x:c>
    </x:row>
    <x:row r="139">
      <x:c r="A139" s="152" t="str">
        <x:v>AT-00136</x:v>
      </x:c>
      <x:c r="B139" s="49" t="n">
        <x:v>46146</x:v>
      </x:c>
      <x:c r="C139" s="45" t="str">
        <x:v>EMP-015</x:v>
      </x:c>
      <x:c r="D139" s="45" t="str">
        <x:v>CARPENTER</x:v>
      </x:c>
      <x:c r="E139" s="45" t="str">
        <x:v>Day</x:v>
      </x:c>
      <x:c r="F139" s="117" t="n">
        <x:v>8</x:v>
      </x:c>
      <x:c r="G139" s="117" t="n">
        <x:v>0</x:v>
      </x:c>
      <x:c r="H139" s="23" t="str">
        <x:v>W-005</x:v>
      </x:c>
    </x:row>
    <x:row r="140">
      <x:c r="A140" s="152" t="str">
        <x:v>AT-00137</x:v>
      </x:c>
      <x:c r="B140" s="49" t="n">
        <x:v>46146</x:v>
      </x:c>
      <x:c r="C140" s="45" t="str">
        <x:v>EMP-008</x:v>
      </x:c>
      <x:c r="D140" s="45" t="str">
        <x:v>PLUMBER</x:v>
      </x:c>
      <x:c r="E140" s="45" t="str">
        <x:v>Day</x:v>
      </x:c>
      <x:c r="F140" s="117" t="n">
        <x:v>8</x:v>
      </x:c>
      <x:c r="G140" s="117" t="n">
        <x:v>1.5</x:v>
      </x:c>
      <x:c r="H140" s="23" t="str">
        <x:v>W-007</x:v>
      </x:c>
    </x:row>
    <x:row r="141">
      <x:c r="A141" s="152" t="str">
        <x:v>AT-00138</x:v>
      </x:c>
      <x:c r="B141" s="49" t="n">
        <x:v>46147</x:v>
      </x:c>
      <x:c r="C141" s="45" t="str">
        <x:v>EMP-001</x:v>
      </x:c>
      <x:c r="D141" s="45" t="str">
        <x:v>SITE-MGR</x:v>
      </x:c>
      <x:c r="E141" s="45" t="str">
        <x:v>Day</x:v>
      </x:c>
      <x:c r="F141" s="117" t="n">
        <x:v>8</x:v>
      </x:c>
      <x:c r="G141" s="117" t="n">
        <x:v>2</x:v>
      </x:c>
      <x:c r="H141" s="23" t="str">
        <x:v>W-008</x:v>
      </x:c>
    </x:row>
    <x:row r="142">
      <x:c r="A142" s="152" t="str">
        <x:v>AT-00139</x:v>
      </x:c>
      <x:c r="B142" s="49" t="n">
        <x:v>46147</x:v>
      </x:c>
      <x:c r="C142" s="45" t="str">
        <x:v>EMP-007</x:v>
      </x:c>
      <x:c r="D142" s="45" t="str">
        <x:v>ELECTRICIAN</x:v>
      </x:c>
      <x:c r="E142" s="45" t="str">
        <x:v>Day</x:v>
      </x:c>
      <x:c r="F142" s="117" t="n">
        <x:v>8</x:v>
      </x:c>
      <x:c r="G142" s="117" t="n">
        <x:v>0</x:v>
      </x:c>
      <x:c r="H142" s="23" t="str">
        <x:v>W-016</x:v>
      </x:c>
    </x:row>
    <x:row r="143">
      <x:c r="A143" s="152" t="str">
        <x:v>AT-00140</x:v>
      </x:c>
      <x:c r="B143" s="49" t="n">
        <x:v>46147</x:v>
      </x:c>
      <x:c r="C143" s="45" t="str">
        <x:v>EMP-008</x:v>
      </x:c>
      <x:c r="D143" s="45" t="str">
        <x:v>PLUMBER</x:v>
      </x:c>
      <x:c r="E143" s="45" t="str">
        <x:v>Day</x:v>
      </x:c>
      <x:c r="F143" s="117" t="n">
        <x:v>8</x:v>
      </x:c>
      <x:c r="G143" s="117" t="n">
        <x:v>0</x:v>
      </x:c>
      <x:c r="H143" s="23" t="str">
        <x:v>W-017</x:v>
      </x:c>
    </x:row>
    <x:row r="144">
      <x:c r="A144" s="152" t="str">
        <x:v>AT-00141</x:v>
      </x:c>
      <x:c r="B144" s="49" t="n">
        <x:v>46147</x:v>
      </x:c>
      <x:c r="C144" s="45" t="str">
        <x:v>EMP-012</x:v>
      </x:c>
      <x:c r="D144" s="45" t="str">
        <x:v>HELPER</x:v>
      </x:c>
      <x:c r="E144" s="45" t="str">
        <x:v>Day</x:v>
      </x:c>
      <x:c r="F144" s="117" t="n">
        <x:v>8</x:v>
      </x:c>
      <x:c r="G144" s="117" t="n">
        <x:v>2</x:v>
      </x:c>
      <x:c r="H144" s="23" t="str">
        <x:v>W-008</x:v>
      </x:c>
    </x:row>
    <x:row r="145">
      <x:c r="A145" s="152" t="str">
        <x:v>AT-00142</x:v>
      </x:c>
      <x:c r="B145" s="49" t="n">
        <x:v>46147</x:v>
      </x:c>
      <x:c r="C145" s="45" t="str">
        <x:v>EMP-010</x:v>
      </x:c>
      <x:c r="D145" s="45" t="str">
        <x:v>TILER</x:v>
      </x:c>
      <x:c r="E145" s="45" t="str">
        <x:v>Day</x:v>
      </x:c>
      <x:c r="F145" s="117" t="n">
        <x:v>8</x:v>
      </x:c>
      <x:c r="G145" s="117" t="n">
        <x:v>1</x:v>
      </x:c>
      <x:c r="H145" s="23" t="str">
        <x:v>W-011</x:v>
      </x:c>
    </x:row>
    <x:row r="146">
      <x:c r="A146" s="152" t="str">
        <x:v>AT-00143</x:v>
      </x:c>
      <x:c r="B146" s="49" t="n">
        <x:v>46147</x:v>
      </x:c>
      <x:c r="C146" s="45" t="str">
        <x:v>EMP-013</x:v>
      </x:c>
      <x:c r="D146" s="45" t="str">
        <x:v>HELPER</x:v>
      </x:c>
      <x:c r="E146" s="45" t="str">
        <x:v>Day</x:v>
      </x:c>
      <x:c r="F146" s="117" t="n">
        <x:v>8</x:v>
      </x:c>
      <x:c r="G146" s="117" t="n">
        <x:v>1.5</x:v>
      </x:c>
      <x:c r="H146" s="23" t="str">
        <x:v>W-008</x:v>
      </x:c>
    </x:row>
    <x:row r="147">
      <x:c r="A147" s="152" t="str">
        <x:v>AT-00144</x:v>
      </x:c>
      <x:c r="B147" s="49" t="n">
        <x:v>46147</x:v>
      </x:c>
      <x:c r="C147" s="45" t="str">
        <x:v>EMP-005</x:v>
      </x:c>
      <x:c r="D147" s="45" t="str">
        <x:v>CARPENTER</x:v>
      </x:c>
      <x:c r="E147" s="45" t="str">
        <x:v>Day</x:v>
      </x:c>
      <x:c r="F147" s="117" t="n">
        <x:v>8</x:v>
      </x:c>
      <x:c r="G147" s="117" t="n">
        <x:v>2</x:v>
      </x:c>
      <x:c r="H147" s="23" t="str">
        <x:v>W-005</x:v>
      </x:c>
    </x:row>
    <x:row r="148">
      <x:c r="A148" s="152" t="str">
        <x:v>AT-00145</x:v>
      </x:c>
      <x:c r="B148" s="49" t="n">
        <x:v>46147</x:v>
      </x:c>
      <x:c r="C148" s="45" t="str">
        <x:v>EMP-015</x:v>
      </x:c>
      <x:c r="D148" s="45" t="str">
        <x:v>CARPENTER</x:v>
      </x:c>
      <x:c r="E148" s="45" t="str">
        <x:v>Day</x:v>
      </x:c>
      <x:c r="F148" s="117" t="n">
        <x:v>8</x:v>
      </x:c>
      <x:c r="G148" s="117" t="n">
        <x:v>0</x:v>
      </x:c>
      <x:c r="H148" s="23" t="str">
        <x:v>W-005</x:v>
      </x:c>
    </x:row>
    <x:row r="149">
      <x:c r="A149" s="152" t="str">
        <x:v>AT-00146</x:v>
      </x:c>
      <x:c r="B149" s="49" t="n">
        <x:v>46147</x:v>
      </x:c>
      <x:c r="C149" s="45" t="str">
        <x:v>EMP-002</x:v>
      </x:c>
      <x:c r="D149" s="45" t="str">
        <x:v>ENGINEER</x:v>
      </x:c>
      <x:c r="E149" s="45" t="str">
        <x:v>Day</x:v>
      </x:c>
      <x:c r="F149" s="117" t="n">
        <x:v>8</x:v>
      </x:c>
      <x:c r="G149" s="117" t="n">
        <x:v>0</x:v>
      </x:c>
      <x:c r="H149" s="23" t="str">
        <x:v>W-004</x:v>
      </x:c>
    </x:row>
    <x:row r="150">
      <x:c r="A150" s="152" t="str">
        <x:v>AT-00147</x:v>
      </x:c>
      <x:c r="B150" s="49" t="n">
        <x:v>46147</x:v>
      </x:c>
      <x:c r="C150" s="45" t="str">
        <x:v>EMP-003</x:v>
      </x:c>
      <x:c r="D150" s="45" t="str">
        <x:v>FOREMAN</x:v>
      </x:c>
      <x:c r="E150" s="45" t="str">
        <x:v>Day</x:v>
      </x:c>
      <x:c r="F150" s="117" t="n">
        <x:v>8</x:v>
      </x:c>
      <x:c r="G150" s="117" t="n">
        <x:v>0</x:v>
      </x:c>
      <x:c r="H150" s="23" t="str">
        <x:v>W-008</x:v>
      </x:c>
    </x:row>
    <x:row r="151">
      <x:c r="A151" s="152" t="str">
        <x:v>AT-00148</x:v>
      </x:c>
      <x:c r="B151" s="49" t="n">
        <x:v>46147</x:v>
      </x:c>
      <x:c r="C151" s="45" t="str">
        <x:v>EMP-006</x:v>
      </x:c>
      <x:c r="D151" s="45" t="str">
        <x:v>ELECTRICIAN</x:v>
      </x:c>
      <x:c r="E151" s="45" t="str">
        <x:v>Day</x:v>
      </x:c>
      <x:c r="F151" s="117" t="n">
        <x:v>8</x:v>
      </x:c>
      <x:c r="G151" s="117" t="n">
        <x:v>1.5</x:v>
      </x:c>
      <x:c r="H151" s="23" t="str">
        <x:v>W-016</x:v>
      </x:c>
    </x:row>
    <x:row r="152">
      <x:c r="A152" s="152" t="str">
        <x:v>AT-00149</x:v>
      </x:c>
      <x:c r="B152" s="49" t="n">
        <x:v>46148</x:v>
      </x:c>
      <x:c r="C152" s="45" t="str">
        <x:v>EMP-015</x:v>
      </x:c>
      <x:c r="D152" s="45" t="str">
        <x:v>CARPENTER</x:v>
      </x:c>
      <x:c r="E152" s="45" t="str">
        <x:v>Day</x:v>
      </x:c>
      <x:c r="F152" s="117" t="n">
        <x:v>8</x:v>
      </x:c>
      <x:c r="G152" s="117" t="n">
        <x:v>1</x:v>
      </x:c>
      <x:c r="H152" s="23" t="str">
        <x:v>W-019</x:v>
      </x:c>
    </x:row>
    <x:row r="153">
      <x:c r="A153" s="152" t="str">
        <x:v>AT-00150</x:v>
      </x:c>
      <x:c r="B153" s="49" t="n">
        <x:v>46148</x:v>
      </x:c>
      <x:c r="C153" s="45" t="str">
        <x:v>EMP-005</x:v>
      </x:c>
      <x:c r="D153" s="45" t="str">
        <x:v>CARPENTER</x:v>
      </x:c>
      <x:c r="E153" s="45" t="str">
        <x:v>Day</x:v>
      </x:c>
      <x:c r="F153" s="117" t="n">
        <x:v>8</x:v>
      </x:c>
      <x:c r="G153" s="117" t="n">
        <x:v>0</x:v>
      </x:c>
      <x:c r="H153" s="23" t="str">
        <x:v>W-019</x:v>
      </x:c>
    </x:row>
    <x:row r="154">
      <x:c r="A154" s="152" t="str">
        <x:v>AT-00151</x:v>
      </x:c>
      <x:c r="B154" s="49" t="n">
        <x:v>46148</x:v>
      </x:c>
      <x:c r="C154" s="45" t="str">
        <x:v>EMP-008</x:v>
      </x:c>
      <x:c r="D154" s="45" t="str">
        <x:v>PLUMBER</x:v>
      </x:c>
      <x:c r="E154" s="45" t="str">
        <x:v>Day</x:v>
      </x:c>
      <x:c r="F154" s="117" t="n">
        <x:v>8</x:v>
      </x:c>
      <x:c r="G154" s="117" t="n">
        <x:v>0</x:v>
      </x:c>
      <x:c r="H154" s="23" t="str">
        <x:v>W-007</x:v>
      </x:c>
    </x:row>
    <x:row r="155">
      <x:c r="A155" s="152" t="str">
        <x:v>AT-00152</x:v>
      </x:c>
      <x:c r="B155" s="49" t="n">
        <x:v>46148</x:v>
      </x:c>
      <x:c r="C155" s="45" t="str">
        <x:v>EMP-002</x:v>
      </x:c>
      <x:c r="D155" s="45" t="str">
        <x:v>ENGINEER</x:v>
      </x:c>
      <x:c r="E155" s="45" t="str">
        <x:v>Day</x:v>
      </x:c>
      <x:c r="F155" s="117" t="n">
        <x:v>8</x:v>
      </x:c>
      <x:c r="G155" s="117" t="n">
        <x:v>0</x:v>
      </x:c>
      <x:c r="H155" s="23" t="str">
        <x:v>W-006</x:v>
      </x:c>
    </x:row>
    <x:row r="156">
      <x:c r="A156" s="152" t="str">
        <x:v>AT-00153</x:v>
      </x:c>
      <x:c r="B156" s="49" t="n">
        <x:v>46148</x:v>
      </x:c>
      <x:c r="C156" s="45" t="str">
        <x:v>EMP-013</x:v>
      </x:c>
      <x:c r="D156" s="45" t="str">
        <x:v>HELPER</x:v>
      </x:c>
      <x:c r="E156" s="45" t="str">
        <x:v>Day</x:v>
      </x:c>
      <x:c r="F156" s="117" t="n">
        <x:v>8</x:v>
      </x:c>
      <x:c r="G156" s="117" t="n">
        <x:v>2</x:v>
      </x:c>
      <x:c r="H156" s="23" t="str">
        <x:v>W-002</x:v>
      </x:c>
    </x:row>
    <x:row r="157">
      <x:c r="A157" s="152" t="str">
        <x:v>AT-00154</x:v>
      </x:c>
      <x:c r="B157" s="49" t="n">
        <x:v>46148</x:v>
      </x:c>
      <x:c r="C157" s="45" t="str">
        <x:v>EMP-014</x:v>
      </x:c>
      <x:c r="D157" s="45" t="str">
        <x:v>SAFETY</x:v>
      </x:c>
      <x:c r="E157" s="45" t="str">
        <x:v>Day</x:v>
      </x:c>
      <x:c r="F157" s="117" t="n">
        <x:v>8</x:v>
      </x:c>
      <x:c r="G157" s="117" t="n">
        <x:v>2</x:v>
      </x:c>
      <x:c r="H157" s="23" t="str">
        <x:v>W-003</x:v>
      </x:c>
    </x:row>
    <x:row r="158">
      <x:c r="A158" s="152" t="str">
        <x:v>AT-00155</x:v>
      </x:c>
      <x:c r="B158" s="49" t="n">
        <x:v>46148</x:v>
      </x:c>
      <x:c r="C158" s="45" t="str">
        <x:v>EMP-007</x:v>
      </x:c>
      <x:c r="D158" s="45" t="str">
        <x:v>ELECTRICIAN</x:v>
      </x:c>
      <x:c r="E158" s="45" t="str">
        <x:v>Day</x:v>
      </x:c>
      <x:c r="F158" s="117" t="n">
        <x:v>8</x:v>
      </x:c>
      <x:c r="G158" s="117" t="n">
        <x:v>1.5</x:v>
      </x:c>
      <x:c r="H158" s="23" t="str">
        <x:v>W-004</x:v>
      </x:c>
    </x:row>
    <x:row r="159">
      <x:c r="A159" s="152" t="str">
        <x:v>AT-00156</x:v>
      </x:c>
      <x:c r="B159" s="49" t="n">
        <x:v>46148</x:v>
      </x:c>
      <x:c r="C159" s="45" t="str">
        <x:v>EMP-010</x:v>
      </x:c>
      <x:c r="D159" s="45" t="str">
        <x:v>TILER</x:v>
      </x:c>
      <x:c r="E159" s="45" t="str">
        <x:v>Day</x:v>
      </x:c>
      <x:c r="F159" s="117" t="n">
        <x:v>8</x:v>
      </x:c>
      <x:c r="G159" s="117" t="n">
        <x:v>0</x:v>
      </x:c>
      <x:c r="H159" s="23" t="str">
        <x:v>W-012</x:v>
      </x:c>
    </x:row>
    <x:row r="160">
      <x:c r="A160" s="152" t="str">
        <x:v>AT-00157</x:v>
      </x:c>
      <x:c r="B160" s="49" t="n">
        <x:v>46148</x:v>
      </x:c>
      <x:c r="C160" s="45" t="str">
        <x:v>EMP-011</x:v>
      </x:c>
      <x:c r="D160" s="45" t="str">
        <x:v>HELPER</x:v>
      </x:c>
      <x:c r="E160" s="45" t="str">
        <x:v>Day</x:v>
      </x:c>
      <x:c r="F160" s="117" t="n">
        <x:v>8</x:v>
      </x:c>
      <x:c r="G160" s="117" t="n">
        <x:v>1.5</x:v>
      </x:c>
      <x:c r="H160" s="23" t="str">
        <x:v>W-012</x:v>
      </x:c>
    </x:row>
    <x:row r="161">
      <x:c r="A161" s="152" t="str">
        <x:v>AT-00158</x:v>
      </x:c>
      <x:c r="B161" s="49" t="n">
        <x:v>46148</x:v>
      </x:c>
      <x:c r="C161" s="45" t="str">
        <x:v>EMP-009</x:v>
      </x:c>
      <x:c r="D161" s="45" t="str">
        <x:v>PAINTER</x:v>
      </x:c>
      <x:c r="E161" s="45" t="str">
        <x:v>Day</x:v>
      </x:c>
      <x:c r="F161" s="117" t="n">
        <x:v>8</x:v>
      </x:c>
      <x:c r="G161" s="117" t="n">
        <x:v>0</x:v>
      </x:c>
      <x:c r="H161" s="23" t="str">
        <x:v>W-010</x:v>
      </x:c>
    </x:row>
    <x:row r="162">
      <x:c r="A162" s="152" t="str">
        <x:v>AT-00159</x:v>
      </x:c>
      <x:c r="B162" s="49" t="n">
        <x:v>46148</x:v>
      </x:c>
      <x:c r="C162" s="45" t="str">
        <x:v>EMP-004</x:v>
      </x:c>
      <x:c r="D162" s="45" t="str">
        <x:v>CARPENTER</x:v>
      </x:c>
      <x:c r="E162" s="45" t="str">
        <x:v>Day</x:v>
      </x:c>
      <x:c r="F162" s="117" t="n">
        <x:v>8</x:v>
      </x:c>
      <x:c r="G162" s="117" t="n">
        <x:v>1.5</x:v>
      </x:c>
      <x:c r="H162" s="23" t="str">
        <x:v>W-008</x:v>
      </x:c>
    </x:row>
    <x:row r="163">
      <x:c r="A163" s="152" t="str">
        <x:v>AT-00160</x:v>
      </x:c>
      <x:c r="B163" s="49" t="n">
        <x:v>46148</x:v>
      </x:c>
      <x:c r="C163" s="45" t="str">
        <x:v>EMP-006</x:v>
      </x:c>
      <x:c r="D163" s="45" t="str">
        <x:v>ELECTRICIAN</x:v>
      </x:c>
      <x:c r="E163" s="45" t="str">
        <x:v>Day</x:v>
      </x:c>
      <x:c r="F163" s="117" t="n">
        <x:v>8</x:v>
      </x:c>
      <x:c r="G163" s="117" t="n">
        <x:v>2</x:v>
      </x:c>
      <x:c r="H163" s="23" t="str">
        <x:v>W-006</x:v>
      </x:c>
    </x:row>
    <x:row r="164">
      <x:c r="A164" s="152" t="str">
        <x:v>AT-00161</x:v>
      </x:c>
      <x:c r="B164" s="49" t="n">
        <x:v>46148</x:v>
      </x:c>
      <x:c r="C164" s="45" t="str">
        <x:v>EMP-001</x:v>
      </x:c>
      <x:c r="D164" s="45" t="str">
        <x:v>SITE-MGR</x:v>
      </x:c>
      <x:c r="E164" s="45" t="str">
        <x:v>Day</x:v>
      </x:c>
      <x:c r="F164" s="117" t="n">
        <x:v>8</x:v>
      </x:c>
      <x:c r="G164" s="117" t="n">
        <x:v>0</x:v>
      </x:c>
      <x:c r="H164" s="23" t="str">
        <x:v>W-008</x:v>
      </x:c>
    </x:row>
    <x:row r="165">
      <x:c r="A165" s="152" t="str">
        <x:v>AT-00162</x:v>
      </x:c>
      <x:c r="B165" s="49" t="n">
        <x:v>46148</x:v>
      </x:c>
      <x:c r="C165" s="45" t="str">
        <x:v>EMP-003</x:v>
      </x:c>
      <x:c r="D165" s="45" t="str">
        <x:v>FOREMAN</x:v>
      </x:c>
      <x:c r="E165" s="45" t="str">
        <x:v>Day</x:v>
      </x:c>
      <x:c r="F165" s="117" t="n">
        <x:v>8</x:v>
      </x:c>
      <x:c r="G165" s="117" t="n">
        <x:v>0</x:v>
      </x:c>
      <x:c r="H165" s="23" t="str">
        <x:v>W-009</x:v>
      </x:c>
    </x:row>
    <x:row r="166">
      <x:c r="A166" s="152" t="str">
        <x:v>AT-00163</x:v>
      </x:c>
      <x:c r="B166" s="49" t="n">
        <x:v>46149</x:v>
      </x:c>
      <x:c r="C166" s="45" t="str">
        <x:v>EMP-006</x:v>
      </x:c>
      <x:c r="D166" s="45" t="str">
        <x:v>ELECTRICIAN</x:v>
      </x:c>
      <x:c r="E166" s="45" t="str">
        <x:v>Day</x:v>
      </x:c>
      <x:c r="F166" s="117" t="n">
        <x:v>8</x:v>
      </x:c>
      <x:c r="G166" s="117" t="n">
        <x:v>1</x:v>
      </x:c>
      <x:c r="H166" s="23" t="str">
        <x:v>W-004</x:v>
      </x:c>
    </x:row>
    <x:row r="167">
      <x:c r="A167" s="152" t="str">
        <x:v>AT-00164</x:v>
      </x:c>
      <x:c r="B167" s="49" t="n">
        <x:v>46149</x:v>
      </x:c>
      <x:c r="C167" s="45" t="str">
        <x:v>EMP-011</x:v>
      </x:c>
      <x:c r="D167" s="45" t="str">
        <x:v>HELPER</x:v>
      </x:c>
      <x:c r="E167" s="45" t="str">
        <x:v>Day</x:v>
      </x:c>
      <x:c r="F167" s="117" t="n">
        <x:v>8</x:v>
      </x:c>
      <x:c r="G167" s="117" t="n">
        <x:v>0</x:v>
      </x:c>
      <x:c r="H167" s="23" t="str">
        <x:v>W-009</x:v>
      </x:c>
    </x:row>
    <x:row r="168">
      <x:c r="A168" s="152" t="str">
        <x:v>AT-00165</x:v>
      </x:c>
      <x:c r="B168" s="49" t="n">
        <x:v>46149</x:v>
      </x:c>
      <x:c r="C168" s="45" t="str">
        <x:v>EMP-002</x:v>
      </x:c>
      <x:c r="D168" s="45" t="str">
        <x:v>ENGINEER</x:v>
      </x:c>
      <x:c r="E168" s="45" t="str">
        <x:v>Day</x:v>
      </x:c>
      <x:c r="F168" s="117" t="n">
        <x:v>8</x:v>
      </x:c>
      <x:c r="G168" s="117" t="n">
        <x:v>0</x:v>
      </x:c>
      <x:c r="H168" s="23" t="str">
        <x:v>W-004</x:v>
      </x:c>
    </x:row>
    <x:row r="169">
      <x:c r="A169" s="152" t="str">
        <x:v>AT-00166</x:v>
      </x:c>
      <x:c r="B169" s="49" t="n">
        <x:v>46149</x:v>
      </x:c>
      <x:c r="C169" s="45" t="str">
        <x:v>EMP-003</x:v>
      </x:c>
      <x:c r="D169" s="45" t="str">
        <x:v>FOREMAN</x:v>
      </x:c>
      <x:c r="E169" s="45" t="str">
        <x:v>Day</x:v>
      </x:c>
      <x:c r="F169" s="117" t="n">
        <x:v>8</x:v>
      </x:c>
      <x:c r="G169" s="117" t="n">
        <x:v>1</x:v>
      </x:c>
      <x:c r="H169" s="23" t="str">
        <x:v>W-010</x:v>
      </x:c>
    </x:row>
    <x:row r="170">
      <x:c r="A170" s="152" t="str">
        <x:v>AT-00167</x:v>
      </x:c>
      <x:c r="B170" s="49" t="n">
        <x:v>46149</x:v>
      </x:c>
      <x:c r="C170" s="45" t="str">
        <x:v>EMP-015</x:v>
      </x:c>
      <x:c r="D170" s="45" t="str">
        <x:v>CARPENTER</x:v>
      </x:c>
      <x:c r="E170" s="45" t="str">
        <x:v>Day</x:v>
      </x:c>
      <x:c r="F170" s="117" t="n">
        <x:v>8</x:v>
      </x:c>
      <x:c r="G170" s="117" t="n">
        <x:v>0</x:v>
      </x:c>
      <x:c r="H170" s="23" t="str">
        <x:v>W-019</x:v>
      </x:c>
    </x:row>
    <x:row r="171">
      <x:c r="A171" s="152" t="str">
        <x:v>AT-00168</x:v>
      </x:c>
      <x:c r="B171" s="49" t="n">
        <x:v>46149</x:v>
      </x:c>
      <x:c r="C171" s="45" t="str">
        <x:v>EMP-007</x:v>
      </x:c>
      <x:c r="D171" s="45" t="str">
        <x:v>ELECTRICIAN</x:v>
      </x:c>
      <x:c r="E171" s="45" t="str">
        <x:v>Day</x:v>
      </x:c>
      <x:c r="F171" s="117" t="n">
        <x:v>8</x:v>
      </x:c>
      <x:c r="G171" s="117" t="n">
        <x:v>1.5</x:v>
      </x:c>
      <x:c r="H171" s="23" t="str">
        <x:v>W-006</x:v>
      </x:c>
    </x:row>
    <x:row r="172">
      <x:c r="A172" s="152" t="str">
        <x:v>AT-00169</x:v>
      </x:c>
      <x:c r="B172" s="49" t="n">
        <x:v>46149</x:v>
      </x:c>
      <x:c r="C172" s="45" t="str">
        <x:v>EMP-008</x:v>
      </x:c>
      <x:c r="D172" s="45" t="str">
        <x:v>PLUMBER</x:v>
      </x:c>
      <x:c r="E172" s="45" t="str">
        <x:v>Day</x:v>
      </x:c>
      <x:c r="F172" s="117" t="n">
        <x:v>8</x:v>
      </x:c>
      <x:c r="G172" s="117" t="n">
        <x:v>1</x:v>
      </x:c>
      <x:c r="H172" s="23" t="str">
        <x:v>W-007</x:v>
      </x:c>
    </x:row>
    <x:row r="173">
      <x:c r="A173" s="152" t="str">
        <x:v>AT-00170</x:v>
      </x:c>
      <x:c r="B173" s="49" t="n">
        <x:v>46149</x:v>
      </x:c>
      <x:c r="C173" s="45" t="str">
        <x:v>EMP-005</x:v>
      </x:c>
      <x:c r="D173" s="45" t="str">
        <x:v>CARPENTER</x:v>
      </x:c>
      <x:c r="E173" s="45" t="str">
        <x:v>Day</x:v>
      </x:c>
      <x:c r="F173" s="117" t="n">
        <x:v>8</x:v>
      </x:c>
      <x:c r="G173" s="117" t="n">
        <x:v>0</x:v>
      </x:c>
      <x:c r="H173" s="23" t="str">
        <x:v>W-019</x:v>
      </x:c>
    </x:row>
    <x:row r="174">
      <x:c r="A174" s="152" t="str">
        <x:v>AT-00171</x:v>
      </x:c>
      <x:c r="B174" s="49" t="n">
        <x:v>46149</x:v>
      </x:c>
      <x:c r="C174" s="45" t="str">
        <x:v>EMP-014</x:v>
      </x:c>
      <x:c r="D174" s="45" t="str">
        <x:v>SAFETY</x:v>
      </x:c>
      <x:c r="E174" s="45" t="str">
        <x:v>Day</x:v>
      </x:c>
      <x:c r="F174" s="117" t="n">
        <x:v>8</x:v>
      </x:c>
      <x:c r="G174" s="117" t="n">
        <x:v>0</x:v>
      </x:c>
      <x:c r="H174" s="23" t="str">
        <x:v>W-020</x:v>
      </x:c>
    </x:row>
    <x:row r="175">
      <x:c r="A175" s="152" t="str">
        <x:v>AT-00172</x:v>
      </x:c>
      <x:c r="B175" s="49" t="n">
        <x:v>46149</x:v>
      </x:c>
      <x:c r="C175" s="45" t="str">
        <x:v>EMP-004</x:v>
      </x:c>
      <x:c r="D175" s="45" t="str">
        <x:v>CARPENTER</x:v>
      </x:c>
      <x:c r="E175" s="45" t="str">
        <x:v>Day</x:v>
      </x:c>
      <x:c r="F175" s="117" t="n">
        <x:v>8</x:v>
      </x:c>
      <x:c r="G175" s="117" t="n">
        <x:v>2</x:v>
      </x:c>
      <x:c r="H175" s="23" t="str">
        <x:v>W-008</x:v>
      </x:c>
    </x:row>
    <x:row r="176">
      <x:c r="A176" s="152" t="str">
        <x:v>AT-00173</x:v>
      </x:c>
      <x:c r="B176" s="49" t="n">
        <x:v>46149</x:v>
      </x:c>
      <x:c r="C176" s="45" t="str">
        <x:v>EMP-009</x:v>
      </x:c>
      <x:c r="D176" s="45" t="str">
        <x:v>PAINTER</x:v>
      </x:c>
      <x:c r="E176" s="45" t="str">
        <x:v>Day</x:v>
      </x:c>
      <x:c r="F176" s="117" t="n">
        <x:v>8</x:v>
      </x:c>
      <x:c r="G176" s="117" t="n">
        <x:v>0</x:v>
      </x:c>
      <x:c r="H176" s="23" t="str">
        <x:v>W-010</x:v>
      </x:c>
    </x:row>
    <x:row r="177">
      <x:c r="A177" s="152" t="str">
        <x:v>AT-00174</x:v>
      </x:c>
      <x:c r="B177" s="49" t="n">
        <x:v>46149</x:v>
      </x:c>
      <x:c r="C177" s="45" t="str">
        <x:v>EMP-001</x:v>
      </x:c>
      <x:c r="D177" s="45" t="str">
        <x:v>SITE-MGR</x:v>
      </x:c>
      <x:c r="E177" s="45" t="str">
        <x:v>Day</x:v>
      </x:c>
      <x:c r="F177" s="117" t="n">
        <x:v>8</x:v>
      </x:c>
      <x:c r="G177" s="117" t="n">
        <x:v>0</x:v>
      </x:c>
      <x:c r="H177" s="23" t="str">
        <x:v>W-020</x:v>
      </x:c>
    </x:row>
    <x:row r="178">
      <x:c r="A178" s="152" t="str">
        <x:v>AT-00175</x:v>
      </x:c>
      <x:c r="B178" s="49" t="n">
        <x:v>46150</x:v>
      </x:c>
      <x:c r="C178" s="45" t="str">
        <x:v>EMP-015</x:v>
      </x:c>
      <x:c r="D178" s="45" t="str">
        <x:v>CARPENTER</x:v>
      </x:c>
      <x:c r="E178" s="45" t="str">
        <x:v>Day</x:v>
      </x:c>
      <x:c r="F178" s="117" t="n">
        <x:v>8</x:v>
      </x:c>
      <x:c r="G178" s="117" t="n">
        <x:v>1.5</x:v>
      </x:c>
      <x:c r="H178" s="23" t="str">
        <x:v>W-005</x:v>
      </x:c>
    </x:row>
    <x:row r="179">
      <x:c r="A179" s="152" t="str">
        <x:v>AT-00176</x:v>
      </x:c>
      <x:c r="B179" s="49" t="n">
        <x:v>46150</x:v>
      </x:c>
      <x:c r="C179" s="45" t="str">
        <x:v>EMP-005</x:v>
      </x:c>
      <x:c r="D179" s="45" t="str">
        <x:v>CARPENTER</x:v>
      </x:c>
      <x:c r="E179" s="45" t="str">
        <x:v>Day</x:v>
      </x:c>
      <x:c r="F179" s="117" t="n">
        <x:v>8</x:v>
      </x:c>
      <x:c r="G179" s="117" t="n">
        <x:v>1.5</x:v>
      </x:c>
      <x:c r="H179" s="23" t="str">
        <x:v>W-008</x:v>
      </x:c>
    </x:row>
    <x:row r="180">
      <x:c r="A180" s="152" t="str">
        <x:v>AT-00177</x:v>
      </x:c>
      <x:c r="B180" s="49" t="n">
        <x:v>46150</x:v>
      </x:c>
      <x:c r="C180" s="45" t="str">
        <x:v>EMP-008</x:v>
      </x:c>
      <x:c r="D180" s="45" t="str">
        <x:v>PLUMBER</x:v>
      </x:c>
      <x:c r="E180" s="45" t="str">
        <x:v>Day</x:v>
      </x:c>
      <x:c r="F180" s="117" t="n">
        <x:v>8</x:v>
      </x:c>
      <x:c r="G180" s="117" t="n">
        <x:v>0</x:v>
      </x:c>
      <x:c r="H180" s="23" t="str">
        <x:v>W-007</x:v>
      </x:c>
    </x:row>
    <x:row r="181">
      <x:c r="A181" s="152" t="str">
        <x:v>AT-00178</x:v>
      </x:c>
      <x:c r="B181" s="49" t="n">
        <x:v>46150</x:v>
      </x:c>
      <x:c r="C181" s="45" t="str">
        <x:v>EMP-012</x:v>
      </x:c>
      <x:c r="D181" s="45" t="str">
        <x:v>HELPER</x:v>
      </x:c>
      <x:c r="E181" s="45" t="str">
        <x:v>Day</x:v>
      </x:c>
      <x:c r="F181" s="117" t="n">
        <x:v>8</x:v>
      </x:c>
      <x:c r="G181" s="117" t="n">
        <x:v>0</x:v>
      </x:c>
      <x:c r="H181" s="23" t="str">
        <x:v>W-012</x:v>
      </x:c>
    </x:row>
    <x:row r="182">
      <x:c r="A182" s="152" t="str">
        <x:v>AT-00179</x:v>
      </x:c>
      <x:c r="B182" s="49" t="n">
        <x:v>46150</x:v>
      </x:c>
      <x:c r="C182" s="45" t="str">
        <x:v>EMP-013</x:v>
      </x:c>
      <x:c r="D182" s="45" t="str">
        <x:v>HELPER</x:v>
      </x:c>
      <x:c r="E182" s="45" t="str">
        <x:v>Day</x:v>
      </x:c>
      <x:c r="F182" s="117" t="n">
        <x:v>8</x:v>
      </x:c>
      <x:c r="G182" s="117" t="n">
        <x:v>0</x:v>
      </x:c>
      <x:c r="H182" s="23" t="str">
        <x:v>W-005</x:v>
      </x:c>
    </x:row>
    <x:row r="183">
      <x:c r="A183" s="152" t="str">
        <x:v>AT-00180</x:v>
      </x:c>
      <x:c r="B183" s="49" t="n">
        <x:v>46150</x:v>
      </x:c>
      <x:c r="C183" s="45" t="str">
        <x:v>EMP-002</x:v>
      </x:c>
      <x:c r="D183" s="45" t="str">
        <x:v>ENGINEER</x:v>
      </x:c>
      <x:c r="E183" s="45" t="str">
        <x:v>Day</x:v>
      </x:c>
      <x:c r="F183" s="117" t="n">
        <x:v>8</x:v>
      </x:c>
      <x:c r="G183" s="117" t="n">
        <x:v>1</x:v>
      </x:c>
      <x:c r="H183" s="23" t="str">
        <x:v>W-007</x:v>
      </x:c>
    </x:row>
    <x:row r="184">
      <x:c r="A184" s="152" t="str">
        <x:v>AT-00181</x:v>
      </x:c>
      <x:c r="B184" s="49" t="n">
        <x:v>46150</x:v>
      </x:c>
      <x:c r="C184" s="45" t="str">
        <x:v>EMP-001</x:v>
      </x:c>
      <x:c r="D184" s="45" t="str">
        <x:v>SITE-MGR</x:v>
      </x:c>
      <x:c r="E184" s="45" t="str">
        <x:v>Day</x:v>
      </x:c>
      <x:c r="F184" s="117" t="n">
        <x:v>8</x:v>
      </x:c>
      <x:c r="G184" s="117" t="n">
        <x:v>1.5</x:v>
      </x:c>
      <x:c r="H184" s="23" t="str">
        <x:v>W-005</x:v>
      </x:c>
    </x:row>
    <x:row r="185">
      <x:c r="A185" s="152" t="str">
        <x:v>AT-00182</x:v>
      </x:c>
      <x:c r="B185" s="49" t="n">
        <x:v>46150</x:v>
      </x:c>
      <x:c r="C185" s="45" t="str">
        <x:v>EMP-004</x:v>
      </x:c>
      <x:c r="D185" s="45" t="str">
        <x:v>CARPENTER</x:v>
      </x:c>
      <x:c r="E185" s="45" t="str">
        <x:v>Day</x:v>
      </x:c>
      <x:c r="F185" s="117" t="n">
        <x:v>8</x:v>
      </x:c>
      <x:c r="G185" s="117" t="n">
        <x:v>1</x:v>
      </x:c>
      <x:c r="H185" s="23" t="str">
        <x:v>W-008</x:v>
      </x:c>
    </x:row>
    <x:row r="186">
      <x:c r="A186" s="152" t="str">
        <x:v>AT-00183</x:v>
      </x:c>
      <x:c r="B186" s="49" t="n">
        <x:v>46150</x:v>
      </x:c>
      <x:c r="C186" s="45" t="str">
        <x:v>EMP-006</x:v>
      </x:c>
      <x:c r="D186" s="45" t="str">
        <x:v>ELECTRICIAN</x:v>
      </x:c>
      <x:c r="E186" s="45" t="str">
        <x:v>Day</x:v>
      </x:c>
      <x:c r="F186" s="117" t="n">
        <x:v>8</x:v>
      </x:c>
      <x:c r="G186" s="117" t="n">
        <x:v>1</x:v>
      </x:c>
      <x:c r="H186" s="23" t="str">
        <x:v>W-004</x:v>
      </x:c>
    </x:row>
    <x:row r="187">
      <x:c r="A187" s="152" t="str">
        <x:v>AT-00184</x:v>
      </x:c>
      <x:c r="B187" s="49" t="n">
        <x:v>46150</x:v>
      </x:c>
      <x:c r="C187" s="45" t="str">
        <x:v>EMP-010</x:v>
      </x:c>
      <x:c r="D187" s="45" t="str">
        <x:v>TILER</x:v>
      </x:c>
      <x:c r="E187" s="45" t="str">
        <x:v>Day</x:v>
      </x:c>
      <x:c r="F187" s="117" t="n">
        <x:v>8</x:v>
      </x:c>
      <x:c r="G187" s="117" t="n">
        <x:v>1</x:v>
      </x:c>
      <x:c r="H187" s="23" t="str">
        <x:v>W-018</x:v>
      </x:c>
    </x:row>
    <x:row r="188">
      <x:c r="A188" s="152" t="str">
        <x:v>AT-00185</x:v>
      </x:c>
      <x:c r="B188" s="49" t="n">
        <x:v>46150</x:v>
      </x:c>
      <x:c r="C188" s="45" t="str">
        <x:v>EMP-003</x:v>
      </x:c>
      <x:c r="D188" s="45" t="str">
        <x:v>FOREMAN</x:v>
      </x:c>
      <x:c r="E188" s="45" t="str">
        <x:v>Day</x:v>
      </x:c>
      <x:c r="F188" s="117" t="n">
        <x:v>8</x:v>
      </x:c>
      <x:c r="G188" s="117" t="n">
        <x:v>0</x:v>
      </x:c>
      <x:c r="H188" s="23" t="str">
        <x:v>W-009</x:v>
      </x:c>
    </x:row>
    <x:row r="189">
      <x:c r="A189" s="152" t="str">
        <x:v>AT-00186</x:v>
      </x:c>
      <x:c r="B189" s="49" t="n">
        <x:v>46151</x:v>
      </x:c>
      <x:c r="C189" s="45" t="str">
        <x:v>EMP-015</x:v>
      </x:c>
      <x:c r="D189" s="45" t="str">
        <x:v>CARPENTER</x:v>
      </x:c>
      <x:c r="E189" s="45" t="str">
        <x:v>Day</x:v>
      </x:c>
      <x:c r="F189" s="117" t="n">
        <x:v>8</x:v>
      </x:c>
      <x:c r="G189" s="117" t="n">
        <x:v>0</x:v>
      </x:c>
      <x:c r="H189" s="23" t="str">
        <x:v>W-008</x:v>
      </x:c>
    </x:row>
    <x:row r="190">
      <x:c r="A190" s="152" t="str">
        <x:v>AT-00187</x:v>
      </x:c>
      <x:c r="B190" s="49" t="n">
        <x:v>46151</x:v>
      </x:c>
      <x:c r="C190" s="45" t="str">
        <x:v>EMP-010</x:v>
      </x:c>
      <x:c r="D190" s="45" t="str">
        <x:v>TILER</x:v>
      </x:c>
      <x:c r="E190" s="45" t="str">
        <x:v>Day</x:v>
      </x:c>
      <x:c r="F190" s="117" t="n">
        <x:v>8</x:v>
      </x:c>
      <x:c r="G190" s="117" t="n">
        <x:v>2</x:v>
      </x:c>
      <x:c r="H190" s="23" t="str">
        <x:v>W-012</x:v>
      </x:c>
    </x:row>
    <x:row r="191">
      <x:c r="A191" s="152" t="str">
        <x:v>AT-00188</x:v>
      </x:c>
      <x:c r="B191" s="49" t="n">
        <x:v>46151</x:v>
      </x:c>
      <x:c r="C191" s="45" t="str">
        <x:v>EMP-009</x:v>
      </x:c>
      <x:c r="D191" s="45" t="str">
        <x:v>PAINTER</x:v>
      </x:c>
      <x:c r="E191" s="45" t="str">
        <x:v>Day</x:v>
      </x:c>
      <x:c r="F191" s="117" t="n">
        <x:v>8</x:v>
      </x:c>
      <x:c r="G191" s="117" t="n">
        <x:v>1.5</x:v>
      </x:c>
      <x:c r="H191" s="23" t="str">
        <x:v>W-015</x:v>
      </x:c>
    </x:row>
    <x:row r="192">
      <x:c r="A192" s="152" t="str">
        <x:v>AT-00189</x:v>
      </x:c>
      <x:c r="B192" s="49" t="n">
        <x:v>46151</x:v>
      </x:c>
      <x:c r="C192" s="45" t="str">
        <x:v>EMP-012</x:v>
      </x:c>
      <x:c r="D192" s="45" t="str">
        <x:v>HELPER</x:v>
      </x:c>
      <x:c r="E192" s="45" t="str">
        <x:v>Day</x:v>
      </x:c>
      <x:c r="F192" s="117" t="n">
        <x:v>8</x:v>
      </x:c>
      <x:c r="G192" s="117" t="n">
        <x:v>2</x:v>
      </x:c>
      <x:c r="H192" s="23" t="str">
        <x:v>W-012</x:v>
      </x:c>
    </x:row>
    <x:row r="193">
      <x:c r="A193" s="152" t="str">
        <x:v>AT-00190</x:v>
      </x:c>
      <x:c r="B193" s="49" t="n">
        <x:v>46151</x:v>
      </x:c>
      <x:c r="C193" s="45" t="str">
        <x:v>EMP-003</x:v>
      </x:c>
      <x:c r="D193" s="45" t="str">
        <x:v>FOREMAN</x:v>
      </x:c>
      <x:c r="E193" s="45" t="str">
        <x:v>Day</x:v>
      </x:c>
      <x:c r="F193" s="117" t="n">
        <x:v>8</x:v>
      </x:c>
      <x:c r="G193" s="117" t="n">
        <x:v>0</x:v>
      </x:c>
      <x:c r="H193" s="23" t="str">
        <x:v>W-009</x:v>
      </x:c>
    </x:row>
    <x:row r="194">
      <x:c r="A194" s="152" t="str">
        <x:v>AT-00191</x:v>
      </x:c>
      <x:c r="B194" s="49" t="n">
        <x:v>46151</x:v>
      </x:c>
      <x:c r="C194" s="45" t="str">
        <x:v>EMP-002</x:v>
      </x:c>
      <x:c r="D194" s="45" t="str">
        <x:v>ENGINEER</x:v>
      </x:c>
      <x:c r="E194" s="45" t="str">
        <x:v>Day</x:v>
      </x:c>
      <x:c r="F194" s="117" t="n">
        <x:v>8</x:v>
      </x:c>
      <x:c r="G194" s="117" t="n">
        <x:v>1.5</x:v>
      </x:c>
      <x:c r="H194" s="23" t="str">
        <x:v>W-016</x:v>
      </x:c>
    </x:row>
    <x:row r="195">
      <x:c r="A195" s="152" t="str">
        <x:v>AT-00192</x:v>
      </x:c>
      <x:c r="B195" s="49" t="n">
        <x:v>46151</x:v>
      </x:c>
      <x:c r="C195" s="45" t="str">
        <x:v>EMP-005</x:v>
      </x:c>
      <x:c r="D195" s="45" t="str">
        <x:v>CARPENTER</x:v>
      </x:c>
      <x:c r="E195" s="45" t="str">
        <x:v>Day</x:v>
      </x:c>
      <x:c r="F195" s="117" t="n">
        <x:v>8</x:v>
      </x:c>
      <x:c r="G195" s="117" t="n">
        <x:v>0</x:v>
      </x:c>
      <x:c r="H195" s="23" t="str">
        <x:v>W-008</x:v>
      </x:c>
    </x:row>
    <x:row r="196">
      <x:c r="A196" s="152" t="str">
        <x:v>AT-00193</x:v>
      </x:c>
      <x:c r="B196" s="49" t="n">
        <x:v>46151</x:v>
      </x:c>
      <x:c r="C196" s="45" t="str">
        <x:v>EMP-007</x:v>
      </x:c>
      <x:c r="D196" s="45" t="str">
        <x:v>ELECTRICIAN</x:v>
      </x:c>
      <x:c r="E196" s="45" t="str">
        <x:v>Day</x:v>
      </x:c>
      <x:c r="F196" s="117" t="n">
        <x:v>8</x:v>
      </x:c>
      <x:c r="G196" s="117" t="n">
        <x:v>1.5</x:v>
      </x:c>
      <x:c r="H196" s="23" t="str">
        <x:v>W-016</x:v>
      </x:c>
    </x:row>
    <x:row r="197">
      <x:c r="A197" s="152" t="str">
        <x:v>AT-00194</x:v>
      </x:c>
      <x:c r="B197" s="49" t="n">
        <x:v>46151</x:v>
      </x:c>
      <x:c r="C197" s="45" t="str">
        <x:v>EMP-011</x:v>
      </x:c>
      <x:c r="D197" s="45" t="str">
        <x:v>HELPER</x:v>
      </x:c>
      <x:c r="E197" s="45" t="str">
        <x:v>Day</x:v>
      </x:c>
      <x:c r="F197" s="117" t="n">
        <x:v>8</x:v>
      </x:c>
      <x:c r="G197" s="117" t="n">
        <x:v>1</x:v>
      </x:c>
      <x:c r="H197" s="23" t="str">
        <x:v>W-012</x:v>
      </x:c>
    </x:row>
    <x:row r="198">
      <x:c r="A198" s="152" t="str">
        <x:v>AT-00195</x:v>
      </x:c>
      <x:c r="B198" s="49" t="n">
        <x:v>46151</x:v>
      </x:c>
      <x:c r="C198" s="45" t="str">
        <x:v>EMP-013</x:v>
      </x:c>
      <x:c r="D198" s="45" t="str">
        <x:v>HELPER</x:v>
      </x:c>
      <x:c r="E198" s="45" t="str">
        <x:v>Day</x:v>
      </x:c>
      <x:c r="F198" s="117" t="n">
        <x:v>8</x:v>
      </x:c>
      <x:c r="G198" s="117" t="n">
        <x:v>0</x:v>
      </x:c>
      <x:c r="H198" s="23" t="str">
        <x:v>W-008</x:v>
      </x:c>
    </x:row>
    <x:row r="199">
      <x:c r="A199" s="152" t="str">
        <x:v>AT-00196</x:v>
      </x:c>
      <x:c r="B199" s="49" t="n">
        <x:v>46151</x:v>
      </x:c>
      <x:c r="C199" s="45" t="str">
        <x:v>EMP-008</x:v>
      </x:c>
      <x:c r="D199" s="45" t="str">
        <x:v>PLUMBER</x:v>
      </x:c>
      <x:c r="E199" s="45" t="str">
        <x:v>Day</x:v>
      </x:c>
      <x:c r="F199" s="117" t="n">
        <x:v>8</x:v>
      </x:c>
      <x:c r="G199" s="117" t="n">
        <x:v>2</x:v>
      </x:c>
      <x:c r="H199" s="23" t="str">
        <x:v>W-007</x:v>
      </x:c>
    </x:row>
    <x:row r="200">
      <x:c r="A200" s="152" t="str">
        <x:v>AT-00197</x:v>
      </x:c>
      <x:c r="B200" s="49" t="n">
        <x:v>46152</x:v>
      </x:c>
      <x:c r="C200" s="45" t="str">
        <x:v>EMP-010</x:v>
      </x:c>
      <x:c r="D200" s="45" t="str">
        <x:v>TILER</x:v>
      </x:c>
      <x:c r="E200" s="45" t="str">
        <x:v>Day</x:v>
      </x:c>
      <x:c r="F200" s="117" t="n">
        <x:v>5</x:v>
      </x:c>
      <x:c r="G200" s="117" t="n">
        <x:v>0</x:v>
      </x:c>
      <x:c r="H200" s="23" t="str">
        <x:v>W-018</x:v>
      </x:c>
    </x:row>
    <x:row r="201">
      <x:c r="A201" s="152" t="str">
        <x:v>AT-00198</x:v>
      </x:c>
      <x:c r="B201" s="49" t="n">
        <x:v>46152</x:v>
      </x:c>
      <x:c r="C201" s="45" t="str">
        <x:v>EMP-007</x:v>
      </x:c>
      <x:c r="D201" s="45" t="str">
        <x:v>ELECTRICIAN</x:v>
      </x:c>
      <x:c r="E201" s="45" t="str">
        <x:v>Day</x:v>
      </x:c>
      <x:c r="F201" s="117" t="n">
        <x:v>5</x:v>
      </x:c>
      <x:c r="G201" s="117" t="n">
        <x:v>1</x:v>
      </x:c>
      <x:c r="H201" s="23" t="str">
        <x:v>W-016</x:v>
      </x:c>
    </x:row>
    <x:row r="202">
      <x:c r="A202" s="152" t="str">
        <x:v>AT-00199</x:v>
      </x:c>
      <x:c r="B202" s="49" t="n">
        <x:v>46152</x:v>
      </x:c>
      <x:c r="C202" s="45" t="str">
        <x:v>EMP-004</x:v>
      </x:c>
      <x:c r="D202" s="45" t="str">
        <x:v>CARPENTER</x:v>
      </x:c>
      <x:c r="E202" s="45" t="str">
        <x:v>Day</x:v>
      </x:c>
      <x:c r="F202" s="117" t="n">
        <x:v>5</x:v>
      </x:c>
      <x:c r="G202" s="117" t="n">
        <x:v>1</x:v>
      </x:c>
      <x:c r="H202" s="23" t="str">
        <x:v>W-008</x:v>
      </x:c>
    </x:row>
    <x:row r="203">
      <x:c r="A203" s="152" t="str">
        <x:v>AT-00200</x:v>
      </x:c>
      <x:c r="B203" s="49" t="n">
        <x:v>46152</x:v>
      </x:c>
      <x:c r="C203" s="45" t="str">
        <x:v>EMP-014</x:v>
      </x:c>
      <x:c r="D203" s="45" t="str">
        <x:v>SAFETY</x:v>
      </x:c>
      <x:c r="E203" s="45" t="str">
        <x:v>Day</x:v>
      </x:c>
      <x:c r="F203" s="117" t="n">
        <x:v>5</x:v>
      </x:c>
      <x:c r="G203" s="117" t="n">
        <x:v>2</x:v>
      </x:c>
      <x:c r="H203" s="23" t="str">
        <x:v>W-002</x:v>
      </x:c>
    </x:row>
    <x:row r="204">
      <x:c r="A204" s="152" t="str">
        <x:v>AT-00201</x:v>
      </x:c>
      <x:c r="B204" s="49" t="n">
        <x:v>46152</x:v>
      </x:c>
      <x:c r="C204" s="45" t="str">
        <x:v>EMP-001</x:v>
      </x:c>
      <x:c r="D204" s="45" t="str">
        <x:v>SITE-MGR</x:v>
      </x:c>
      <x:c r="E204" s="45" t="str">
        <x:v>Day</x:v>
      </x:c>
      <x:c r="F204" s="117" t="n">
        <x:v>5</x:v>
      </x:c>
      <x:c r="G204" s="117" t="n">
        <x:v>1</x:v>
      </x:c>
      <x:c r="H204" s="23" t="str">
        <x:v>W-001</x:v>
      </x:c>
    </x:row>
    <x:row r="205">
      <x:c r="A205" s="152" t="str">
        <x:v>AT-00202</x:v>
      </x:c>
      <x:c r="B205" s="49" t="n">
        <x:v>46153</x:v>
      </x:c>
      <x:c r="C205" s="45" t="str">
        <x:v>EMP-009</x:v>
      </x:c>
      <x:c r="D205" s="45" t="str">
        <x:v>PAINTER</x:v>
      </x:c>
      <x:c r="E205" s="45" t="str">
        <x:v>Day</x:v>
      </x:c>
      <x:c r="F205" s="117" t="n">
        <x:v>8</x:v>
      </x:c>
      <x:c r="G205" s="117" t="n">
        <x:v>1</x:v>
      </x:c>
      <x:c r="H205" s="23" t="str">
        <x:v>W-015</x:v>
      </x:c>
    </x:row>
    <x:row r="206">
      <x:c r="A206" s="152" t="str">
        <x:v>AT-00203</x:v>
      </x:c>
      <x:c r="B206" s="49" t="n">
        <x:v>46153</x:v>
      </x:c>
      <x:c r="C206" s="45" t="str">
        <x:v>EMP-010</x:v>
      </x:c>
      <x:c r="D206" s="45" t="str">
        <x:v>TILER</x:v>
      </x:c>
      <x:c r="E206" s="45" t="str">
        <x:v>Day</x:v>
      </x:c>
      <x:c r="F206" s="117" t="n">
        <x:v>8</x:v>
      </x:c>
      <x:c r="G206" s="117" t="n">
        <x:v>0</x:v>
      </x:c>
      <x:c r="H206" s="23" t="str">
        <x:v>W-011</x:v>
      </x:c>
    </x:row>
    <x:row r="207">
      <x:c r="A207" s="152" t="str">
        <x:v>AT-00204</x:v>
      </x:c>
      <x:c r="B207" s="49" t="n">
        <x:v>46153</x:v>
      </x:c>
      <x:c r="C207" s="45" t="str">
        <x:v>EMP-006</x:v>
      </x:c>
      <x:c r="D207" s="45" t="str">
        <x:v>ELECTRICIAN</x:v>
      </x:c>
      <x:c r="E207" s="45" t="str">
        <x:v>Day</x:v>
      </x:c>
      <x:c r="F207" s="117" t="n">
        <x:v>8</x:v>
      </x:c>
      <x:c r="G207" s="117" t="n">
        <x:v>1</x:v>
      </x:c>
      <x:c r="H207" s="23" t="str">
        <x:v>W-006</x:v>
      </x:c>
    </x:row>
    <x:row r="208">
      <x:c r="A208" s="152" t="str">
        <x:v>AT-00205</x:v>
      </x:c>
      <x:c r="B208" s="49" t="n">
        <x:v>46153</x:v>
      </x:c>
      <x:c r="C208" s="45" t="str">
        <x:v>EMP-002</x:v>
      </x:c>
      <x:c r="D208" s="45" t="str">
        <x:v>ENGINEER</x:v>
      </x:c>
      <x:c r="E208" s="45" t="str">
        <x:v>Day</x:v>
      </x:c>
      <x:c r="F208" s="117" t="n">
        <x:v>8</x:v>
      </x:c>
      <x:c r="G208" s="117" t="n">
        <x:v>0</x:v>
      </x:c>
      <x:c r="H208" s="23" t="str">
        <x:v>W-017</x:v>
      </x:c>
    </x:row>
    <x:row r="209">
      <x:c r="A209" s="152" t="str">
        <x:v>AT-00206</x:v>
      </x:c>
      <x:c r="B209" s="49" t="n">
        <x:v>46153</x:v>
      </x:c>
      <x:c r="C209" s="45" t="str">
        <x:v>EMP-008</x:v>
      </x:c>
      <x:c r="D209" s="45" t="str">
        <x:v>PLUMBER</x:v>
      </x:c>
      <x:c r="E209" s="45" t="str">
        <x:v>Day</x:v>
      </x:c>
      <x:c r="F209" s="117" t="n">
        <x:v>8</x:v>
      </x:c>
      <x:c r="G209" s="117" t="n">
        <x:v>2</x:v>
      </x:c>
      <x:c r="H209" s="23" t="str">
        <x:v>W-017</x:v>
      </x:c>
    </x:row>
    <x:row r="210">
      <x:c r="A210" s="152" t="str">
        <x:v>AT-00207</x:v>
      </x:c>
      <x:c r="B210" s="49" t="n">
        <x:v>46153</x:v>
      </x:c>
      <x:c r="C210" s="45" t="str">
        <x:v>EMP-012</x:v>
      </x:c>
      <x:c r="D210" s="45" t="str">
        <x:v>HELPER</x:v>
      </x:c>
      <x:c r="E210" s="45" t="str">
        <x:v>Day</x:v>
      </x:c>
      <x:c r="F210" s="117" t="n">
        <x:v>8</x:v>
      </x:c>
      <x:c r="G210" s="117" t="n">
        <x:v>2</x:v>
      </x:c>
      <x:c r="H210" s="23" t="str">
        <x:v>W-003</x:v>
      </x:c>
    </x:row>
    <x:row r="211">
      <x:c r="A211" s="152" t="str">
        <x:v>AT-00208</x:v>
      </x:c>
      <x:c r="B211" s="49" t="n">
        <x:v>46153</x:v>
      </x:c>
      <x:c r="C211" s="45" t="str">
        <x:v>EMP-015</x:v>
      </x:c>
      <x:c r="D211" s="45" t="str">
        <x:v>CARPENTER</x:v>
      </x:c>
      <x:c r="E211" s="45" t="str">
        <x:v>Day</x:v>
      </x:c>
      <x:c r="F211" s="117" t="n">
        <x:v>8</x:v>
      </x:c>
      <x:c r="G211" s="117" t="n">
        <x:v>0</x:v>
      </x:c>
      <x:c r="H211" s="23" t="str">
        <x:v>W-019</x:v>
      </x:c>
    </x:row>
    <x:row r="212">
      <x:c r="A212" s="152" t="str">
        <x:v>AT-00209</x:v>
      </x:c>
      <x:c r="B212" s="49" t="n">
        <x:v>46153</x:v>
      </x:c>
      <x:c r="C212" s="45" t="str">
        <x:v>EMP-011</x:v>
      </x:c>
      <x:c r="D212" s="45" t="str">
        <x:v>HELPER</x:v>
      </x:c>
      <x:c r="E212" s="45" t="str">
        <x:v>Day</x:v>
      </x:c>
      <x:c r="F212" s="117" t="n">
        <x:v>8</x:v>
      </x:c>
      <x:c r="G212" s="117" t="n">
        <x:v>1.5</x:v>
      </x:c>
      <x:c r="H212" s="23" t="str">
        <x:v>W-011</x:v>
      </x:c>
    </x:row>
    <x:row r="213">
      <x:c r="A213" s="152" t="str">
        <x:v>AT-00210</x:v>
      </x:c>
      <x:c r="B213" s="49" t="n">
        <x:v>46153</x:v>
      </x:c>
      <x:c r="C213" s="45" t="str">
        <x:v>EMP-001</x:v>
      </x:c>
      <x:c r="D213" s="45" t="str">
        <x:v>SITE-MGR</x:v>
      </x:c>
      <x:c r="E213" s="45" t="str">
        <x:v>Day</x:v>
      </x:c>
      <x:c r="F213" s="117" t="n">
        <x:v>8</x:v>
      </x:c>
      <x:c r="G213" s="117" t="n">
        <x:v>0</x:v>
      </x:c>
      <x:c r="H213" s="23" t="str">
        <x:v>W-008</x:v>
      </x:c>
    </x:row>
    <x:row r="214">
      <x:c r="A214" s="152" t="str">
        <x:v>AT-00211</x:v>
      </x:c>
      <x:c r="B214" s="49" t="n">
        <x:v>46153</x:v>
      </x:c>
      <x:c r="C214" s="45" t="str">
        <x:v>EMP-013</x:v>
      </x:c>
      <x:c r="D214" s="45" t="str">
        <x:v>HELPER</x:v>
      </x:c>
      <x:c r="E214" s="45" t="str">
        <x:v>Day</x:v>
      </x:c>
      <x:c r="F214" s="117" t="n">
        <x:v>8</x:v>
      </x:c>
      <x:c r="G214" s="117" t="n">
        <x:v>1.5</x:v>
      </x:c>
      <x:c r="H214" s="23" t="str">
        <x:v>W-002</x:v>
      </x:c>
    </x:row>
    <x:row r="215">
      <x:c r="A215" s="152" t="str">
        <x:v>AT-00212</x:v>
      </x:c>
      <x:c r="B215" s="49" t="n">
        <x:v>46153</x:v>
      </x:c>
      <x:c r="C215" s="45" t="str">
        <x:v>EMP-014</x:v>
      </x:c>
      <x:c r="D215" s="45" t="str">
        <x:v>SAFETY</x:v>
      </x:c>
      <x:c r="E215" s="45" t="str">
        <x:v>Day</x:v>
      </x:c>
      <x:c r="F215" s="117" t="n">
        <x:v>8</x:v>
      </x:c>
      <x:c r="G215" s="117" t="n">
        <x:v>1.5</x:v>
      </x:c>
      <x:c r="H215" s="23" t="str">
        <x:v>W-001</x:v>
      </x:c>
    </x:row>
    <x:row r="216">
      <x:c r="A216" s="152" t="str">
        <x:v>AT-00213</x:v>
      </x:c>
      <x:c r="B216" s="49" t="n">
        <x:v>46154</x:v>
      </x:c>
      <x:c r="C216" s="45" t="str">
        <x:v>EMP-011</x:v>
      </x:c>
      <x:c r="D216" s="45" t="str">
        <x:v>HELPER</x:v>
      </x:c>
      <x:c r="E216" s="45" t="str">
        <x:v>Day</x:v>
      </x:c>
      <x:c r="F216" s="117" t="n">
        <x:v>8</x:v>
      </x:c>
      <x:c r="G216" s="117" t="n">
        <x:v>0</x:v>
      </x:c>
      <x:c r="H216" s="23" t="str">
        <x:v>W-002</x:v>
      </x:c>
    </x:row>
    <x:row r="217">
      <x:c r="A217" s="152" t="str">
        <x:v>AT-00214</x:v>
      </x:c>
      <x:c r="B217" s="49" t="n">
        <x:v>46154</x:v>
      </x:c>
      <x:c r="C217" s="45" t="str">
        <x:v>EMP-015</x:v>
      </x:c>
      <x:c r="D217" s="45" t="str">
        <x:v>CARPENTER</x:v>
      </x:c>
      <x:c r="E217" s="45" t="str">
        <x:v>Day</x:v>
      </x:c>
      <x:c r="F217" s="117" t="n">
        <x:v>8</x:v>
      </x:c>
      <x:c r="G217" s="117" t="n">
        <x:v>0</x:v>
      </x:c>
      <x:c r="H217" s="23" t="str">
        <x:v>W-005</x:v>
      </x:c>
    </x:row>
    <x:row r="218">
      <x:c r="A218" s="152" t="str">
        <x:v>AT-00215</x:v>
      </x:c>
      <x:c r="B218" s="49" t="n">
        <x:v>46154</x:v>
      </x:c>
      <x:c r="C218" s="45" t="str">
        <x:v>EMP-005</x:v>
      </x:c>
      <x:c r="D218" s="45" t="str">
        <x:v>CARPENTER</x:v>
      </x:c>
      <x:c r="E218" s="45" t="str">
        <x:v>Day</x:v>
      </x:c>
      <x:c r="F218" s="117" t="n">
        <x:v>8</x:v>
      </x:c>
      <x:c r="G218" s="117" t="n">
        <x:v>0</x:v>
      </x:c>
      <x:c r="H218" s="23" t="str">
        <x:v>W-008</x:v>
      </x:c>
    </x:row>
    <x:row r="219">
      <x:c r="A219" s="152" t="str">
        <x:v>AT-00216</x:v>
      </x:c>
      <x:c r="B219" s="49" t="n">
        <x:v>46154</x:v>
      </x:c>
      <x:c r="C219" s="45" t="str">
        <x:v>EMP-004</x:v>
      </x:c>
      <x:c r="D219" s="45" t="str">
        <x:v>CARPENTER</x:v>
      </x:c>
      <x:c r="E219" s="45" t="str">
        <x:v>Day</x:v>
      </x:c>
      <x:c r="F219" s="117" t="n">
        <x:v>8</x:v>
      </x:c>
      <x:c r="G219" s="117" t="n">
        <x:v>0</x:v>
      </x:c>
      <x:c r="H219" s="23" t="str">
        <x:v>W-008</x:v>
      </x:c>
    </x:row>
    <x:row r="220">
      <x:c r="A220" s="152" t="str">
        <x:v>AT-00217</x:v>
      </x:c>
      <x:c r="B220" s="49" t="n">
        <x:v>46154</x:v>
      </x:c>
      <x:c r="C220" s="45" t="str">
        <x:v>EMP-002</x:v>
      </x:c>
      <x:c r="D220" s="45" t="str">
        <x:v>ENGINEER</x:v>
      </x:c>
      <x:c r="E220" s="45" t="str">
        <x:v>Day</x:v>
      </x:c>
      <x:c r="F220" s="117" t="n">
        <x:v>8</x:v>
      </x:c>
      <x:c r="G220" s="117" t="n">
        <x:v>0</x:v>
      </x:c>
      <x:c r="H220" s="23" t="str">
        <x:v>W-006</x:v>
      </x:c>
    </x:row>
    <x:row r="221">
      <x:c r="A221" s="152" t="str">
        <x:v>AT-00218</x:v>
      </x:c>
      <x:c r="B221" s="49" t="n">
        <x:v>46154</x:v>
      </x:c>
      <x:c r="C221" s="45" t="str">
        <x:v>EMP-007</x:v>
      </x:c>
      <x:c r="D221" s="45" t="str">
        <x:v>ELECTRICIAN</x:v>
      </x:c>
      <x:c r="E221" s="45" t="str">
        <x:v>Day</x:v>
      </x:c>
      <x:c r="F221" s="117" t="n">
        <x:v>8</x:v>
      </x:c>
      <x:c r="G221" s="117" t="n">
        <x:v>1.5</x:v>
      </x:c>
      <x:c r="H221" s="23" t="str">
        <x:v>W-006</x:v>
      </x:c>
    </x:row>
    <x:row r="222">
      <x:c r="A222" s="152" t="str">
        <x:v>AT-00219</x:v>
      </x:c>
      <x:c r="B222" s="49" t="n">
        <x:v>46154</x:v>
      </x:c>
      <x:c r="C222" s="45" t="str">
        <x:v>EMP-014</x:v>
      </x:c>
      <x:c r="D222" s="45" t="str">
        <x:v>SAFETY</x:v>
      </x:c>
      <x:c r="E222" s="45" t="str">
        <x:v>Day</x:v>
      </x:c>
      <x:c r="F222" s="117" t="n">
        <x:v>8</x:v>
      </x:c>
      <x:c r="G222" s="117" t="n">
        <x:v>1.5</x:v>
      </x:c>
      <x:c r="H222" s="23" t="str">
        <x:v>W-002</x:v>
      </x:c>
    </x:row>
    <x:row r="223">
      <x:c r="A223" s="152" t="str">
        <x:v>AT-00220</x:v>
      </x:c>
      <x:c r="B223" s="49" t="n">
        <x:v>46154</x:v>
      </x:c>
      <x:c r="C223" s="45" t="str">
        <x:v>EMP-009</x:v>
      </x:c>
      <x:c r="D223" s="45" t="str">
        <x:v>PAINTER</x:v>
      </x:c>
      <x:c r="E223" s="45" t="str">
        <x:v>Day</x:v>
      </x:c>
      <x:c r="F223" s="117" t="n">
        <x:v>8</x:v>
      </x:c>
      <x:c r="G223" s="117" t="n">
        <x:v>0</x:v>
      </x:c>
      <x:c r="H223" s="23" t="str">
        <x:v>W-010</x:v>
      </x:c>
    </x:row>
    <x:row r="224">
      <x:c r="A224" s="152" t="str">
        <x:v>AT-00221</x:v>
      </x:c>
      <x:c r="B224" s="49" t="n">
        <x:v>46154</x:v>
      </x:c>
      <x:c r="C224" s="45" t="str">
        <x:v>EMP-012</x:v>
      </x:c>
      <x:c r="D224" s="45" t="str">
        <x:v>HELPER</x:v>
      </x:c>
      <x:c r="E224" s="45" t="str">
        <x:v>Day</x:v>
      </x:c>
      <x:c r="F224" s="117" t="n">
        <x:v>8</x:v>
      </x:c>
      <x:c r="G224" s="117" t="n">
        <x:v>0</x:v>
      </x:c>
      <x:c r="H224" s="23" t="str">
        <x:v>W-011</x:v>
      </x:c>
    </x:row>
    <x:row r="225">
      <x:c r="A225" s="152" t="str">
        <x:v>AT-00222</x:v>
      </x:c>
      <x:c r="B225" s="49" t="n">
        <x:v>46154</x:v>
      </x:c>
      <x:c r="C225" s="45" t="str">
        <x:v>EMP-008</x:v>
      </x:c>
      <x:c r="D225" s="45" t="str">
        <x:v>PLUMBER</x:v>
      </x:c>
      <x:c r="E225" s="45" t="str">
        <x:v>Day</x:v>
      </x:c>
      <x:c r="F225" s="117" t="n">
        <x:v>8</x:v>
      </x:c>
      <x:c r="G225" s="117" t="n">
        <x:v>1.5</x:v>
      </x:c>
      <x:c r="H225" s="23" t="str">
        <x:v>W-007</x:v>
      </x:c>
    </x:row>
    <x:row r="226">
      <x:c r="A226" s="152" t="str">
        <x:v>AT-00223</x:v>
      </x:c>
      <x:c r="B226" s="49" t="n">
        <x:v>46154</x:v>
      </x:c>
      <x:c r="C226" s="45" t="str">
        <x:v>EMP-003</x:v>
      </x:c>
      <x:c r="D226" s="45" t="str">
        <x:v>FOREMAN</x:v>
      </x:c>
      <x:c r="E226" s="45" t="str">
        <x:v>Day</x:v>
      </x:c>
      <x:c r="F226" s="117" t="n">
        <x:v>8</x:v>
      </x:c>
      <x:c r="G226" s="117" t="n">
        <x:v>1</x:v>
      </x:c>
      <x:c r="H226" s="23" t="str">
        <x:v>W-010</x:v>
      </x:c>
    </x:row>
    <x:row r="227">
      <x:c r="A227" s="152" t="str">
        <x:v>AT-00224</x:v>
      </x:c>
      <x:c r="B227" s="49" t="n">
        <x:v>46155</x:v>
      </x:c>
      <x:c r="C227" s="45" t="str">
        <x:v>EMP-004</x:v>
      </x:c>
      <x:c r="D227" s="45" t="str">
        <x:v>CARPENTER</x:v>
      </x:c>
      <x:c r="E227" s="45" t="str">
        <x:v>Day</x:v>
      </x:c>
      <x:c r="F227" s="117" t="n">
        <x:v>8</x:v>
      </x:c>
      <x:c r="G227" s="117" t="n">
        <x:v>0</x:v>
      </x:c>
      <x:c r="H227" s="23" t="str">
        <x:v>W-005</x:v>
      </x:c>
    </x:row>
    <x:row r="228">
      <x:c r="A228" s="152" t="str">
        <x:v>AT-00225</x:v>
      </x:c>
      <x:c r="B228" s="49" t="n">
        <x:v>46155</x:v>
      </x:c>
      <x:c r="C228" s="45" t="str">
        <x:v>EMP-008</x:v>
      </x:c>
      <x:c r="D228" s="45" t="str">
        <x:v>PLUMBER</x:v>
      </x:c>
      <x:c r="E228" s="45" t="str">
        <x:v>Day</x:v>
      </x:c>
      <x:c r="F228" s="117" t="n">
        <x:v>8</x:v>
      </x:c>
      <x:c r="G228" s="117" t="n">
        <x:v>1</x:v>
      </x:c>
      <x:c r="H228" s="23" t="str">
        <x:v>W-017</x:v>
      </x:c>
    </x:row>
    <x:row r="229">
      <x:c r="A229" s="152" t="str">
        <x:v>AT-00226</x:v>
      </x:c>
      <x:c r="B229" s="49" t="n">
        <x:v>46155</x:v>
      </x:c>
      <x:c r="C229" s="45" t="str">
        <x:v>EMP-011</x:v>
      </x:c>
      <x:c r="D229" s="45" t="str">
        <x:v>HELPER</x:v>
      </x:c>
      <x:c r="E229" s="45" t="str">
        <x:v>Day</x:v>
      </x:c>
      <x:c r="F229" s="117" t="n">
        <x:v>8</x:v>
      </x:c>
      <x:c r="G229" s="117" t="n">
        <x:v>1.5</x:v>
      </x:c>
      <x:c r="H229" s="23" t="str">
        <x:v>W-009</x:v>
      </x:c>
    </x:row>
    <x:row r="230">
      <x:c r="A230" s="152" t="str">
        <x:v>AT-00227</x:v>
      </x:c>
      <x:c r="B230" s="49" t="n">
        <x:v>46155</x:v>
      </x:c>
      <x:c r="C230" s="45" t="str">
        <x:v>EMP-005</x:v>
      </x:c>
      <x:c r="D230" s="45" t="str">
        <x:v>CARPENTER</x:v>
      </x:c>
      <x:c r="E230" s="45" t="str">
        <x:v>Day</x:v>
      </x:c>
      <x:c r="F230" s="117" t="n">
        <x:v>8</x:v>
      </x:c>
      <x:c r="G230" s="117" t="n">
        <x:v>2</x:v>
      </x:c>
      <x:c r="H230" s="23" t="str">
        <x:v>W-008</x:v>
      </x:c>
    </x:row>
    <x:row r="231">
      <x:c r="A231" s="152" t="str">
        <x:v>AT-00228</x:v>
      </x:c>
      <x:c r="B231" s="49" t="n">
        <x:v>46155</x:v>
      </x:c>
      <x:c r="C231" s="45" t="str">
        <x:v>EMP-014</x:v>
      </x:c>
      <x:c r="D231" s="45" t="str">
        <x:v>SAFETY</x:v>
      </x:c>
      <x:c r="E231" s="45" t="str">
        <x:v>Day</x:v>
      </x:c>
      <x:c r="F231" s="117" t="n">
        <x:v>8</x:v>
      </x:c>
      <x:c r="G231" s="117" t="n">
        <x:v>2</x:v>
      </x:c>
      <x:c r="H231" s="23" t="str">
        <x:v>W-003</x:v>
      </x:c>
    </x:row>
    <x:row r="232">
      <x:c r="A232" s="152" t="str">
        <x:v>AT-00229</x:v>
      </x:c>
      <x:c r="B232" s="49" t="n">
        <x:v>46155</x:v>
      </x:c>
      <x:c r="C232" s="45" t="str">
        <x:v>EMP-012</x:v>
      </x:c>
      <x:c r="D232" s="45" t="str">
        <x:v>HELPER</x:v>
      </x:c>
      <x:c r="E232" s="45" t="str">
        <x:v>Day</x:v>
      </x:c>
      <x:c r="F232" s="117" t="n">
        <x:v>8</x:v>
      </x:c>
      <x:c r="G232" s="117" t="n">
        <x:v>1</x:v>
      </x:c>
      <x:c r="H232" s="23" t="str">
        <x:v>W-009</x:v>
      </x:c>
    </x:row>
    <x:row r="233">
      <x:c r="A233" s="152" t="str">
        <x:v>AT-00230</x:v>
      </x:c>
      <x:c r="B233" s="49" t="n">
        <x:v>46155</x:v>
      </x:c>
      <x:c r="C233" s="45" t="str">
        <x:v>EMP-001</x:v>
      </x:c>
      <x:c r="D233" s="45" t="str">
        <x:v>SITE-MGR</x:v>
      </x:c>
      <x:c r="E233" s="45" t="str">
        <x:v>Day</x:v>
      </x:c>
      <x:c r="F233" s="117" t="n">
        <x:v>8</x:v>
      </x:c>
      <x:c r="G233" s="117" t="n">
        <x:v>0</x:v>
      </x:c>
      <x:c r="H233" s="23" t="str">
        <x:v>W-008</x:v>
      </x:c>
    </x:row>
    <x:row r="234">
      <x:c r="A234" s="152" t="str">
        <x:v>AT-00231</x:v>
      </x:c>
      <x:c r="B234" s="49" t="n">
        <x:v>46155</x:v>
      </x:c>
      <x:c r="C234" s="45" t="str">
        <x:v>EMP-013</x:v>
      </x:c>
      <x:c r="D234" s="45" t="str">
        <x:v>HELPER</x:v>
      </x:c>
      <x:c r="E234" s="45" t="str">
        <x:v>Day</x:v>
      </x:c>
      <x:c r="F234" s="117" t="n">
        <x:v>8</x:v>
      </x:c>
      <x:c r="G234" s="117" t="n">
        <x:v>1</x:v>
      </x:c>
      <x:c r="H234" s="23" t="str">
        <x:v>W-003</x:v>
      </x:c>
    </x:row>
    <x:row r="235">
      <x:c r="A235" s="152" t="str">
        <x:v>AT-00232</x:v>
      </x:c>
      <x:c r="B235" s="49" t="n">
        <x:v>46155</x:v>
      </x:c>
      <x:c r="C235" s="45" t="str">
        <x:v>EMP-003</x:v>
      </x:c>
      <x:c r="D235" s="45" t="str">
        <x:v>FOREMAN</x:v>
      </x:c>
      <x:c r="E235" s="45" t="str">
        <x:v>Day</x:v>
      </x:c>
      <x:c r="F235" s="117" t="n">
        <x:v>8</x:v>
      </x:c>
      <x:c r="G235" s="117" t="n">
        <x:v>0</x:v>
      </x:c>
      <x:c r="H235" s="23" t="str">
        <x:v>W-009</x:v>
      </x:c>
    </x:row>
    <x:row r="236">
      <x:c r="A236" s="152" t="str">
        <x:v>AT-00233</x:v>
      </x:c>
      <x:c r="B236" s="49" t="n">
        <x:v>46155</x:v>
      </x:c>
      <x:c r="C236" s="45" t="str">
        <x:v>EMP-006</x:v>
      </x:c>
      <x:c r="D236" s="45" t="str">
        <x:v>ELECTRICIAN</x:v>
      </x:c>
      <x:c r="E236" s="45" t="str">
        <x:v>Day</x:v>
      </x:c>
      <x:c r="F236" s="117" t="n">
        <x:v>8</x:v>
      </x:c>
      <x:c r="G236" s="117" t="n">
        <x:v>1.5</x:v>
      </x:c>
      <x:c r="H236" s="23" t="str">
        <x:v>W-006</x:v>
      </x:c>
    </x:row>
    <x:row r="237">
      <x:c r="A237" s="152" t="str">
        <x:v>AT-00234</x:v>
      </x:c>
      <x:c r="B237" s="49" t="n">
        <x:v>46155</x:v>
      </x:c>
      <x:c r="C237" s="45" t="str">
        <x:v>EMP-010</x:v>
      </x:c>
      <x:c r="D237" s="45" t="str">
        <x:v>TILER</x:v>
      </x:c>
      <x:c r="E237" s="45" t="str">
        <x:v>Day</x:v>
      </x:c>
      <x:c r="F237" s="117" t="n">
        <x:v>8</x:v>
      </x:c>
      <x:c r="G237" s="117" t="n">
        <x:v>1.5</x:v>
      </x:c>
      <x:c r="H237" s="23" t="str">
        <x:v>W-012</x:v>
      </x:c>
    </x:row>
    <x:row r="238">
      <x:c r="A238" s="152" t="str">
        <x:v>AT-00235</x:v>
      </x:c>
      <x:c r="B238" s="49" t="n">
        <x:v>46156</x:v>
      </x:c>
      <x:c r="C238" s="45" t="str">
        <x:v>EMP-001</x:v>
      </x:c>
      <x:c r="D238" s="45" t="str">
        <x:v>SITE-MGR</x:v>
      </x:c>
      <x:c r="E238" s="45" t="str">
        <x:v>Day</x:v>
      </x:c>
      <x:c r="F238" s="117" t="n">
        <x:v>8</x:v>
      </x:c>
      <x:c r="G238" s="117" t="n">
        <x:v>0</x:v>
      </x:c>
      <x:c r="H238" s="23" t="str">
        <x:v>W-002</x:v>
      </x:c>
    </x:row>
    <x:row r="239">
      <x:c r="A239" s="152" t="str">
        <x:v>AT-00236</x:v>
      </x:c>
      <x:c r="B239" s="49" t="n">
        <x:v>46156</x:v>
      </x:c>
      <x:c r="C239" s="45" t="str">
        <x:v>EMP-014</x:v>
      </x:c>
      <x:c r="D239" s="45" t="str">
        <x:v>SAFETY</x:v>
      </x:c>
      <x:c r="E239" s="45" t="str">
        <x:v>Day</x:v>
      </x:c>
      <x:c r="F239" s="117" t="n">
        <x:v>8</x:v>
      </x:c>
      <x:c r="G239" s="117" t="n">
        <x:v>1.5</x:v>
      </x:c>
      <x:c r="H239" s="23" t="str">
        <x:v>W-003</x:v>
      </x:c>
    </x:row>
    <x:row r="240">
      <x:c r="A240" s="152" t="str">
        <x:v>AT-00237</x:v>
      </x:c>
      <x:c r="B240" s="49" t="n">
        <x:v>46156</x:v>
      </x:c>
      <x:c r="C240" s="45" t="str">
        <x:v>EMP-011</x:v>
      </x:c>
      <x:c r="D240" s="45" t="str">
        <x:v>HELPER</x:v>
      </x:c>
      <x:c r="E240" s="45" t="str">
        <x:v>Day</x:v>
      </x:c>
      <x:c r="F240" s="117" t="n">
        <x:v>8</x:v>
      </x:c>
      <x:c r="G240" s="117" t="n">
        <x:v>2</x:v>
      </x:c>
      <x:c r="H240" s="23" t="str">
        <x:v>W-005</x:v>
      </x:c>
    </x:row>
    <x:row r="241">
      <x:c r="A241" s="152" t="str">
        <x:v>AT-00238</x:v>
      </x:c>
      <x:c r="B241" s="49" t="n">
        <x:v>46156</x:v>
      </x:c>
      <x:c r="C241" s="45" t="str">
        <x:v>EMP-007</x:v>
      </x:c>
      <x:c r="D241" s="45" t="str">
        <x:v>ELECTRICIAN</x:v>
      </x:c>
      <x:c r="E241" s="45" t="str">
        <x:v>Day</x:v>
      </x:c>
      <x:c r="F241" s="117" t="n">
        <x:v>8</x:v>
      </x:c>
      <x:c r="G241" s="117" t="n">
        <x:v>2</x:v>
      </x:c>
      <x:c r="H241" s="23" t="str">
        <x:v>W-004</x:v>
      </x:c>
    </x:row>
    <x:row r="242">
      <x:c r="A242" s="152" t="str">
        <x:v>AT-00239</x:v>
      </x:c>
      <x:c r="B242" s="49" t="n">
        <x:v>46156</x:v>
      </x:c>
      <x:c r="C242" s="45" t="str">
        <x:v>EMP-005</x:v>
      </x:c>
      <x:c r="D242" s="45" t="str">
        <x:v>CARPENTER</x:v>
      </x:c>
      <x:c r="E242" s="45" t="str">
        <x:v>Day</x:v>
      </x:c>
      <x:c r="F242" s="117" t="n">
        <x:v>8</x:v>
      </x:c>
      <x:c r="G242" s="117" t="n">
        <x:v>2</x:v>
      </x:c>
      <x:c r="H242" s="23" t="str">
        <x:v>W-019</x:v>
      </x:c>
    </x:row>
    <x:row r="243">
      <x:c r="A243" s="152" t="str">
        <x:v>AT-00240</x:v>
      </x:c>
      <x:c r="B243" s="49" t="n">
        <x:v>46156</x:v>
      </x:c>
      <x:c r="C243" s="45" t="str">
        <x:v>EMP-015</x:v>
      </x:c>
      <x:c r="D243" s="45" t="str">
        <x:v>CARPENTER</x:v>
      </x:c>
      <x:c r="E243" s="45" t="str">
        <x:v>Day</x:v>
      </x:c>
      <x:c r="F243" s="117" t="n">
        <x:v>8</x:v>
      </x:c>
      <x:c r="G243" s="117" t="n">
        <x:v>0</x:v>
      </x:c>
      <x:c r="H243" s="23" t="str">
        <x:v>W-008</x:v>
      </x:c>
    </x:row>
    <x:row r="244">
      <x:c r="A244" s="152" t="str">
        <x:v>AT-00241</x:v>
      </x:c>
      <x:c r="B244" s="49" t="n">
        <x:v>46156</x:v>
      </x:c>
      <x:c r="C244" s="45" t="str">
        <x:v>EMP-010</x:v>
      </x:c>
      <x:c r="D244" s="45" t="str">
        <x:v>TILER</x:v>
      </x:c>
      <x:c r="E244" s="45" t="str">
        <x:v>Day</x:v>
      </x:c>
      <x:c r="F244" s="117" t="n">
        <x:v>8</x:v>
      </x:c>
      <x:c r="G244" s="117" t="n">
        <x:v>1</x:v>
      </x:c>
      <x:c r="H244" s="23" t="str">
        <x:v>W-011</x:v>
      </x:c>
    </x:row>
    <x:row r="245">
      <x:c r="A245" s="152" t="str">
        <x:v>AT-00242</x:v>
      </x:c>
      <x:c r="B245" s="49" t="n">
        <x:v>46156</x:v>
      </x:c>
      <x:c r="C245" s="45" t="str">
        <x:v>EMP-008</x:v>
      </x:c>
      <x:c r="D245" s="45" t="str">
        <x:v>PLUMBER</x:v>
      </x:c>
      <x:c r="E245" s="45" t="str">
        <x:v>Day</x:v>
      </x:c>
      <x:c r="F245" s="117" t="n">
        <x:v>8</x:v>
      </x:c>
      <x:c r="G245" s="117" t="n">
        <x:v>1.5</x:v>
      </x:c>
      <x:c r="H245" s="23" t="str">
        <x:v>W-017</x:v>
      </x:c>
    </x:row>
    <x:row r="246">
      <x:c r="A246" s="152" t="str">
        <x:v>AT-00243</x:v>
      </x:c>
      <x:c r="B246" s="49" t="n">
        <x:v>46156</x:v>
      </x:c>
      <x:c r="C246" s="45" t="str">
        <x:v>EMP-012</x:v>
      </x:c>
      <x:c r="D246" s="45" t="str">
        <x:v>HELPER</x:v>
      </x:c>
      <x:c r="E246" s="45" t="str">
        <x:v>Day</x:v>
      </x:c>
      <x:c r="F246" s="117" t="n">
        <x:v>8</x:v>
      </x:c>
      <x:c r="G246" s="117" t="n">
        <x:v>2</x:v>
      </x:c>
      <x:c r="H246" s="23" t="str">
        <x:v>W-005</x:v>
      </x:c>
    </x:row>
    <x:row r="247">
      <x:c r="A247" s="152" t="str">
        <x:v>AT-00244</x:v>
      </x:c>
      <x:c r="B247" s="49" t="n">
        <x:v>46156</x:v>
      </x:c>
      <x:c r="C247" s="45" t="str">
        <x:v>EMP-003</x:v>
      </x:c>
      <x:c r="D247" s="45" t="str">
        <x:v>FOREMAN</x:v>
      </x:c>
      <x:c r="E247" s="45" t="str">
        <x:v>Day</x:v>
      </x:c>
      <x:c r="F247" s="117" t="n">
        <x:v>8</x:v>
      </x:c>
      <x:c r="G247" s="117" t="n">
        <x:v>0</x:v>
      </x:c>
      <x:c r="H247" s="23" t="str">
        <x:v>W-008</x:v>
      </x:c>
    </x:row>
    <x:row r="248">
      <x:c r="A248" s="152" t="str">
        <x:v>AT-00245</x:v>
      </x:c>
      <x:c r="B248" s="49" t="n">
        <x:v>46156</x:v>
      </x:c>
      <x:c r="C248" s="45" t="str">
        <x:v>EMP-002</x:v>
      </x:c>
      <x:c r="D248" s="45" t="str">
        <x:v>ENGINEER</x:v>
      </x:c>
      <x:c r="E248" s="45" t="str">
        <x:v>Day</x:v>
      </x:c>
      <x:c r="F248" s="117" t="n">
        <x:v>8</x:v>
      </x:c>
      <x:c r="G248" s="117" t="n">
        <x:v>0</x:v>
      </x:c>
      <x:c r="H248" s="23" t="str">
        <x:v>W-016</x:v>
      </x:c>
    </x:row>
    <x:row r="249">
      <x:c r="A249" s="152" t="str">
        <x:v>AT-00246</x:v>
      </x:c>
      <x:c r="B249" s="49" t="n">
        <x:v>46156</x:v>
      </x:c>
      <x:c r="C249" s="45" t="str">
        <x:v>EMP-006</x:v>
      </x:c>
      <x:c r="D249" s="45" t="str">
        <x:v>ELECTRICIAN</x:v>
      </x:c>
      <x:c r="E249" s="45" t="str">
        <x:v>Day</x:v>
      </x:c>
      <x:c r="F249" s="117" t="n">
        <x:v>8</x:v>
      </x:c>
      <x:c r="G249" s="117" t="n">
        <x:v>0</x:v>
      </x:c>
      <x:c r="H249" s="23" t="str">
        <x:v>W-004</x:v>
      </x:c>
    </x:row>
    <x:row r="250">
      <x:c r="A250" s="152" t="str">
        <x:v>AT-00247</x:v>
      </x:c>
      <x:c r="B250" s="49" t="n">
        <x:v>46157</x:v>
      </x:c>
      <x:c r="C250" s="45" t="str">
        <x:v>EMP-013</x:v>
      </x:c>
      <x:c r="D250" s="45" t="str">
        <x:v>HELPER</x:v>
      </x:c>
      <x:c r="E250" s="45" t="str">
        <x:v>Day</x:v>
      </x:c>
      <x:c r="F250" s="117" t="n">
        <x:v>8</x:v>
      </x:c>
      <x:c r="G250" s="117" t="n">
        <x:v>2</x:v>
      </x:c>
      <x:c r="H250" s="23" t="str">
        <x:v>W-010</x:v>
      </x:c>
    </x:row>
    <x:row r="251">
      <x:c r="A251" s="152" t="str">
        <x:v>AT-00248</x:v>
      </x:c>
      <x:c r="B251" s="49" t="n">
        <x:v>46157</x:v>
      </x:c>
      <x:c r="C251" s="45" t="str">
        <x:v>EMP-009</x:v>
      </x:c>
      <x:c r="D251" s="45" t="str">
        <x:v>PAINTER</x:v>
      </x:c>
      <x:c r="E251" s="45" t="str">
        <x:v>Day</x:v>
      </x:c>
      <x:c r="F251" s="117" t="n">
        <x:v>8</x:v>
      </x:c>
      <x:c r="G251" s="117" t="n">
        <x:v>0</x:v>
      </x:c>
      <x:c r="H251" s="23" t="str">
        <x:v>W-014</x:v>
      </x:c>
    </x:row>
    <x:row r="252">
      <x:c r="A252" s="152" t="str">
        <x:v>AT-00249</x:v>
      </x:c>
      <x:c r="B252" s="49" t="n">
        <x:v>46157</x:v>
      </x:c>
      <x:c r="C252" s="45" t="str">
        <x:v>EMP-006</x:v>
      </x:c>
      <x:c r="D252" s="45" t="str">
        <x:v>ELECTRICIAN</x:v>
      </x:c>
      <x:c r="E252" s="45" t="str">
        <x:v>Day</x:v>
      </x:c>
      <x:c r="F252" s="117" t="n">
        <x:v>8</x:v>
      </x:c>
      <x:c r="G252" s="117" t="n">
        <x:v>0</x:v>
      </x:c>
      <x:c r="H252" s="23" t="str">
        <x:v>W-004</x:v>
      </x:c>
    </x:row>
    <x:row r="253">
      <x:c r="A253" s="152" t="str">
        <x:v>AT-00250</x:v>
      </x:c>
      <x:c r="B253" s="49" t="n">
        <x:v>46157</x:v>
      </x:c>
      <x:c r="C253" s="45" t="str">
        <x:v>EMP-014</x:v>
      </x:c>
      <x:c r="D253" s="45" t="str">
        <x:v>SAFETY</x:v>
      </x:c>
      <x:c r="E253" s="45" t="str">
        <x:v>Day</x:v>
      </x:c>
      <x:c r="F253" s="117" t="n">
        <x:v>8</x:v>
      </x:c>
      <x:c r="G253" s="117" t="n">
        <x:v>0</x:v>
      </x:c>
      <x:c r="H253" s="23" t="str">
        <x:v>W-020</x:v>
      </x:c>
    </x:row>
    <x:row r="254">
      <x:c r="A254" s="152" t="str">
        <x:v>AT-00251</x:v>
      </x:c>
      <x:c r="B254" s="49" t="n">
        <x:v>46157</x:v>
      </x:c>
      <x:c r="C254" s="45" t="str">
        <x:v>EMP-012</x:v>
      </x:c>
      <x:c r="D254" s="45" t="str">
        <x:v>HELPER</x:v>
      </x:c>
      <x:c r="E254" s="45" t="str">
        <x:v>Day</x:v>
      </x:c>
      <x:c r="F254" s="117" t="n">
        <x:v>8</x:v>
      </x:c>
      <x:c r="G254" s="117" t="n">
        <x:v>1.5</x:v>
      </x:c>
      <x:c r="H254" s="23" t="str">
        <x:v>W-010</x:v>
      </x:c>
    </x:row>
    <x:row r="255">
      <x:c r="A255" s="152" t="str">
        <x:v>AT-00252</x:v>
      </x:c>
      <x:c r="B255" s="49" t="n">
        <x:v>46157</x:v>
      </x:c>
      <x:c r="C255" s="45" t="str">
        <x:v>EMP-005</x:v>
      </x:c>
      <x:c r="D255" s="45" t="str">
        <x:v>CARPENTER</x:v>
      </x:c>
      <x:c r="E255" s="45" t="str">
        <x:v>Day</x:v>
      </x:c>
      <x:c r="F255" s="117" t="n">
        <x:v>8</x:v>
      </x:c>
      <x:c r="G255" s="117" t="n">
        <x:v>0</x:v>
      </x:c>
      <x:c r="H255" s="23" t="str">
        <x:v>W-008</x:v>
      </x:c>
    </x:row>
    <x:row r="256">
      <x:c r="A256" s="152" t="str">
        <x:v>AT-00253</x:v>
      </x:c>
      <x:c r="B256" s="49" t="n">
        <x:v>46157</x:v>
      </x:c>
      <x:c r="C256" s="45" t="str">
        <x:v>EMP-003</x:v>
      </x:c>
      <x:c r="D256" s="45" t="str">
        <x:v>FOREMAN</x:v>
      </x:c>
      <x:c r="E256" s="45" t="str">
        <x:v>Day</x:v>
      </x:c>
      <x:c r="F256" s="117" t="n">
        <x:v>8</x:v>
      </x:c>
      <x:c r="G256" s="117" t="n">
        <x:v>0</x:v>
      </x:c>
      <x:c r="H256" s="23" t="str">
        <x:v>W-008</x:v>
      </x:c>
    </x:row>
    <x:row r="257">
      <x:c r="A257" s="152" t="str">
        <x:v>AT-00254</x:v>
      </x:c>
      <x:c r="B257" s="49" t="n">
        <x:v>46157</x:v>
      </x:c>
      <x:c r="C257" s="45" t="str">
        <x:v>EMP-010</x:v>
      </x:c>
      <x:c r="D257" s="45" t="str">
        <x:v>TILER</x:v>
      </x:c>
      <x:c r="E257" s="45" t="str">
        <x:v>Day</x:v>
      </x:c>
      <x:c r="F257" s="117" t="n">
        <x:v>8</x:v>
      </x:c>
      <x:c r="G257" s="117" t="n">
        <x:v>1.5</x:v>
      </x:c>
      <x:c r="H257" s="23" t="str">
        <x:v>W-011</x:v>
      </x:c>
    </x:row>
    <x:row r="258">
      <x:c r="A258" s="152" t="str">
        <x:v>AT-00255</x:v>
      </x:c>
      <x:c r="B258" s="49" t="n">
        <x:v>46157</x:v>
      </x:c>
      <x:c r="C258" s="45" t="str">
        <x:v>EMP-007</x:v>
      </x:c>
      <x:c r="D258" s="45" t="str">
        <x:v>ELECTRICIAN</x:v>
      </x:c>
      <x:c r="E258" s="45" t="str">
        <x:v>Day</x:v>
      </x:c>
      <x:c r="F258" s="117" t="n">
        <x:v>8</x:v>
      </x:c>
      <x:c r="G258" s="117" t="n">
        <x:v>1</x:v>
      </x:c>
      <x:c r="H258" s="23" t="str">
        <x:v>W-006</x:v>
      </x:c>
    </x:row>
    <x:row r="259">
      <x:c r="A259" s="152" t="str">
        <x:v>AT-00256</x:v>
      </x:c>
      <x:c r="B259" s="49" t="n">
        <x:v>46157</x:v>
      </x:c>
      <x:c r="C259" s="45" t="str">
        <x:v>EMP-004</x:v>
      </x:c>
      <x:c r="D259" s="45" t="str">
        <x:v>CARPENTER</x:v>
      </x:c>
      <x:c r="E259" s="45" t="str">
        <x:v>Day</x:v>
      </x:c>
      <x:c r="F259" s="117" t="n">
        <x:v>8</x:v>
      </x:c>
      <x:c r="G259" s="117" t="n">
        <x:v>2</x:v>
      </x:c>
      <x:c r="H259" s="23" t="str">
        <x:v>W-019</x:v>
      </x:c>
    </x:row>
    <x:row r="260">
      <x:c r="A260" s="152" t="str">
        <x:v>AT-00257</x:v>
      </x:c>
      <x:c r="B260" s="49" t="n">
        <x:v>46157</x:v>
      </x:c>
      <x:c r="C260" s="45" t="str">
        <x:v>EMP-011</x:v>
      </x:c>
      <x:c r="D260" s="45" t="str">
        <x:v>HELPER</x:v>
      </x:c>
      <x:c r="E260" s="45" t="str">
        <x:v>Day</x:v>
      </x:c>
      <x:c r="F260" s="117" t="n">
        <x:v>8</x:v>
      </x:c>
      <x:c r="G260" s="117" t="n">
        <x:v>2</x:v>
      </x:c>
      <x:c r="H260" s="23" t="str">
        <x:v>W-009</x:v>
      </x:c>
    </x:row>
    <x:row r="261">
      <x:c r="A261" s="152" t="str">
        <x:v>AT-00258</x:v>
      </x:c>
      <x:c r="B261" s="49" t="n">
        <x:v>46158</x:v>
      </x:c>
      <x:c r="C261" s="45" t="str">
        <x:v>EMP-007</x:v>
      </x:c>
      <x:c r="D261" s="45" t="str">
        <x:v>ELECTRICIAN</x:v>
      </x:c>
      <x:c r="E261" s="45" t="str">
        <x:v>Day</x:v>
      </x:c>
      <x:c r="F261" s="117" t="n">
        <x:v>8</x:v>
      </x:c>
      <x:c r="G261" s="117" t="n">
        <x:v>2</x:v>
      </x:c>
      <x:c r="H261" s="23" t="str">
        <x:v>W-006</x:v>
      </x:c>
    </x:row>
    <x:row r="262">
      <x:c r="A262" s="152" t="str">
        <x:v>AT-00259</x:v>
      </x:c>
      <x:c r="B262" s="49" t="n">
        <x:v>46158</x:v>
      </x:c>
      <x:c r="C262" s="45" t="str">
        <x:v>EMP-014</x:v>
      </x:c>
      <x:c r="D262" s="45" t="str">
        <x:v>SAFETY</x:v>
      </x:c>
      <x:c r="E262" s="45" t="str">
        <x:v>Day</x:v>
      </x:c>
      <x:c r="F262" s="117" t="n">
        <x:v>8</x:v>
      </x:c>
      <x:c r="G262" s="117" t="n">
        <x:v>2</x:v>
      </x:c>
      <x:c r="H262" s="23" t="str">
        <x:v>W-003</x:v>
      </x:c>
    </x:row>
    <x:row r="263">
      <x:c r="A263" s="152" t="str">
        <x:v>AT-00260</x:v>
      </x:c>
      <x:c r="B263" s="49" t="n">
        <x:v>46158</x:v>
      </x:c>
      <x:c r="C263" s="45" t="str">
        <x:v>EMP-011</x:v>
      </x:c>
      <x:c r="D263" s="45" t="str">
        <x:v>HELPER</x:v>
      </x:c>
      <x:c r="E263" s="45" t="str">
        <x:v>Day</x:v>
      </x:c>
      <x:c r="F263" s="117" t="n">
        <x:v>8</x:v>
      </x:c>
      <x:c r="G263" s="117" t="n">
        <x:v>2</x:v>
      </x:c>
      <x:c r="H263" s="23" t="str">
        <x:v>W-011</x:v>
      </x:c>
    </x:row>
    <x:row r="264">
      <x:c r="A264" s="152" t="str">
        <x:v>AT-00261</x:v>
      </x:c>
      <x:c r="B264" s="49" t="n">
        <x:v>46158</x:v>
      </x:c>
      <x:c r="C264" s="45" t="str">
        <x:v>EMP-006</x:v>
      </x:c>
      <x:c r="D264" s="45" t="str">
        <x:v>ELECTRICIAN</x:v>
      </x:c>
      <x:c r="E264" s="45" t="str">
        <x:v>Day</x:v>
      </x:c>
      <x:c r="F264" s="117" t="n">
        <x:v>8</x:v>
      </x:c>
      <x:c r="G264" s="117" t="n">
        <x:v>0</x:v>
      </x:c>
      <x:c r="H264" s="23" t="str">
        <x:v>W-004</x:v>
      </x:c>
    </x:row>
    <x:row r="265">
      <x:c r="A265" s="152" t="str">
        <x:v>AT-00262</x:v>
      </x:c>
      <x:c r="B265" s="49" t="n">
        <x:v>46158</x:v>
      </x:c>
      <x:c r="C265" s="45" t="str">
        <x:v>EMP-002</x:v>
      </x:c>
      <x:c r="D265" s="45" t="str">
        <x:v>ENGINEER</x:v>
      </x:c>
      <x:c r="E265" s="45" t="str">
        <x:v>Day</x:v>
      </x:c>
      <x:c r="F265" s="117" t="n">
        <x:v>8</x:v>
      </x:c>
      <x:c r="G265" s="117" t="n">
        <x:v>0</x:v>
      </x:c>
      <x:c r="H265" s="23" t="str">
        <x:v>W-004</x:v>
      </x:c>
    </x:row>
    <x:row r="266">
      <x:c r="A266" s="152" t="str">
        <x:v>AT-00263</x:v>
      </x:c>
      <x:c r="B266" s="49" t="n">
        <x:v>46158</x:v>
      </x:c>
      <x:c r="C266" s="45" t="str">
        <x:v>EMP-004</x:v>
      </x:c>
      <x:c r="D266" s="45" t="str">
        <x:v>CARPENTER</x:v>
      </x:c>
      <x:c r="E266" s="45" t="str">
        <x:v>Day</x:v>
      </x:c>
      <x:c r="F266" s="117" t="n">
        <x:v>8</x:v>
      </x:c>
      <x:c r="G266" s="117" t="n">
        <x:v>0</x:v>
      </x:c>
      <x:c r="H266" s="23" t="str">
        <x:v>W-008</x:v>
      </x:c>
    </x:row>
    <x:row r="267">
      <x:c r="A267" s="152" t="str">
        <x:v>AT-00264</x:v>
      </x:c>
      <x:c r="B267" s="49" t="n">
        <x:v>46158</x:v>
      </x:c>
      <x:c r="C267" s="45" t="str">
        <x:v>EMP-008</x:v>
      </x:c>
      <x:c r="D267" s="45" t="str">
        <x:v>PLUMBER</x:v>
      </x:c>
      <x:c r="E267" s="45" t="str">
        <x:v>Day</x:v>
      </x:c>
      <x:c r="F267" s="117" t="n">
        <x:v>8</x:v>
      </x:c>
      <x:c r="G267" s="117" t="n">
        <x:v>0</x:v>
      </x:c>
      <x:c r="H267" s="23" t="str">
        <x:v>W-007</x:v>
      </x:c>
    </x:row>
    <x:row r="268">
      <x:c r="A268" s="152" t="str">
        <x:v>AT-00265</x:v>
      </x:c>
      <x:c r="B268" s="49" t="n">
        <x:v>46158</x:v>
      </x:c>
      <x:c r="C268" s="45" t="str">
        <x:v>EMP-001</x:v>
      </x:c>
      <x:c r="D268" s="45" t="str">
        <x:v>SITE-MGR</x:v>
      </x:c>
      <x:c r="E268" s="45" t="str">
        <x:v>Day</x:v>
      </x:c>
      <x:c r="F268" s="117" t="n">
        <x:v>8</x:v>
      </x:c>
      <x:c r="G268" s="117" t="n">
        <x:v>0</x:v>
      </x:c>
      <x:c r="H268" s="23" t="str">
        <x:v>W-020</x:v>
      </x:c>
    </x:row>
    <x:row r="269">
      <x:c r="A269" s="152" t="str">
        <x:v>AT-00266</x:v>
      </x:c>
      <x:c r="B269" s="49" t="n">
        <x:v>46158</x:v>
      </x:c>
      <x:c r="C269" s="45" t="str">
        <x:v>EMP-005</x:v>
      </x:c>
      <x:c r="D269" s="45" t="str">
        <x:v>CARPENTER</x:v>
      </x:c>
      <x:c r="E269" s="45" t="str">
        <x:v>Day</x:v>
      </x:c>
      <x:c r="F269" s="117" t="n">
        <x:v>8</x:v>
      </x:c>
      <x:c r="G269" s="117" t="n">
        <x:v>0</x:v>
      </x:c>
      <x:c r="H269" s="23" t="str">
        <x:v>W-008</x:v>
      </x:c>
    </x:row>
    <x:row r="270">
      <x:c r="A270" s="152" t="str">
        <x:v>AT-00267</x:v>
      </x:c>
      <x:c r="B270" s="49" t="n">
        <x:v>46158</x:v>
      </x:c>
      <x:c r="C270" s="45" t="str">
        <x:v>EMP-015</x:v>
      </x:c>
      <x:c r="D270" s="45" t="str">
        <x:v>CARPENTER</x:v>
      </x:c>
      <x:c r="E270" s="45" t="str">
        <x:v>Day</x:v>
      </x:c>
      <x:c r="F270" s="117" t="n">
        <x:v>8</x:v>
      </x:c>
      <x:c r="G270" s="117" t="n">
        <x:v>1</x:v>
      </x:c>
      <x:c r="H270" s="23" t="str">
        <x:v>W-008</x:v>
      </x:c>
    </x:row>
    <x:row r="271">
      <x:c r="A271" s="152" t="str">
        <x:v>AT-00268</x:v>
      </x:c>
      <x:c r="B271" s="49" t="n">
        <x:v>46158</x:v>
      </x:c>
      <x:c r="C271" s="45" t="str">
        <x:v>EMP-003</x:v>
      </x:c>
      <x:c r="D271" s="45" t="str">
        <x:v>FOREMAN</x:v>
      </x:c>
      <x:c r="E271" s="45" t="str">
        <x:v>Day</x:v>
      </x:c>
      <x:c r="F271" s="117" t="n">
        <x:v>8</x:v>
      </x:c>
      <x:c r="G271" s="117" t="n">
        <x:v>2</x:v>
      </x:c>
      <x:c r="H271" s="23" t="str">
        <x:v>W-010</x:v>
      </x:c>
    </x:row>
    <x:row r="272">
      <x:c r="A272" s="152" t="str">
        <x:v>AT-00269</x:v>
      </x:c>
      <x:c r="B272" s="49" t="n">
        <x:v>46158</x:v>
      </x:c>
      <x:c r="C272" s="45" t="str">
        <x:v>EMP-013</x:v>
      </x:c>
      <x:c r="D272" s="45" t="str">
        <x:v>HELPER</x:v>
      </x:c>
      <x:c r="E272" s="45" t="str">
        <x:v>Day</x:v>
      </x:c>
      <x:c r="F272" s="117" t="n">
        <x:v>8</x:v>
      </x:c>
      <x:c r="G272" s="117" t="n">
        <x:v>1</x:v>
      </x:c>
      <x:c r="H272" s="23" t="str">
        <x:v>W-005</x:v>
      </x:c>
    </x:row>
    <x:row r="273">
      <x:c r="A273" s="152" t="str">
        <x:v>AT-00270</x:v>
      </x:c>
      <x:c r="B273" s="49" t="n">
        <x:v>46158</x:v>
      </x:c>
      <x:c r="C273" s="45" t="str">
        <x:v>EMP-012</x:v>
      </x:c>
      <x:c r="D273" s="45" t="str">
        <x:v>HELPER</x:v>
      </x:c>
      <x:c r="E273" s="45" t="str">
        <x:v>Day</x:v>
      </x:c>
      <x:c r="F273" s="117" t="n">
        <x:v>8</x:v>
      </x:c>
      <x:c r="G273" s="117" t="n">
        <x:v>1</x:v>
      </x:c>
      <x:c r="H273" s="23" t="str">
        <x:v>W-003</x:v>
      </x:c>
    </x:row>
    <x:row r="274">
      <x:c r="A274" s="152" t="str">
        <x:v>AT-00271</x:v>
      </x:c>
      <x:c r="B274" s="49" t="n">
        <x:v>46158</x:v>
      </x:c>
      <x:c r="C274" s="45" t="str">
        <x:v>EMP-009</x:v>
      </x:c>
      <x:c r="D274" s="45" t="str">
        <x:v>PAINTER</x:v>
      </x:c>
      <x:c r="E274" s="45" t="str">
        <x:v>Day</x:v>
      </x:c>
      <x:c r="F274" s="117" t="n">
        <x:v>8</x:v>
      </x:c>
      <x:c r="G274" s="117" t="n">
        <x:v>1</x:v>
      </x:c>
      <x:c r="H274" s="23" t="str">
        <x:v>W-015</x:v>
      </x:c>
    </x:row>
    <x:row r="275">
      <x:c r="A275" s="152" t="str">
        <x:v>AT-00272</x:v>
      </x:c>
      <x:c r="B275" s="49" t="n">
        <x:v>46159</x:v>
      </x:c>
      <x:c r="C275" s="45" t="str">
        <x:v>EMP-007</x:v>
      </x:c>
      <x:c r="D275" s="45" t="str">
        <x:v>ELECTRICIAN</x:v>
      </x:c>
      <x:c r="E275" s="45" t="str">
        <x:v>Day</x:v>
      </x:c>
      <x:c r="F275" s="117" t="n">
        <x:v>5</x:v>
      </x:c>
      <x:c r="G275" s="117" t="n">
        <x:v>0</x:v>
      </x:c>
      <x:c r="H275" s="23" t="str">
        <x:v>W-006</x:v>
      </x:c>
    </x:row>
    <x:row r="276">
      <x:c r="A276" s="152" t="str">
        <x:v>AT-00273</x:v>
      </x:c>
      <x:c r="B276" s="49" t="n">
        <x:v>46159</x:v>
      </x:c>
      <x:c r="C276" s="45" t="str">
        <x:v>EMP-005</x:v>
      </x:c>
      <x:c r="D276" s="45" t="str">
        <x:v>CARPENTER</x:v>
      </x:c>
      <x:c r="E276" s="45" t="str">
        <x:v>Day</x:v>
      </x:c>
      <x:c r="F276" s="117" t="n">
        <x:v>5</x:v>
      </x:c>
      <x:c r="G276" s="117" t="n">
        <x:v>1</x:v>
      </x:c>
      <x:c r="H276" s="23" t="str">
        <x:v>W-005</x:v>
      </x:c>
    </x:row>
    <x:row r="277">
      <x:c r="A277" s="152" t="str">
        <x:v>AT-00274</x:v>
      </x:c>
      <x:c r="B277" s="49" t="n">
        <x:v>46159</x:v>
      </x:c>
      <x:c r="C277" s="45" t="str">
        <x:v>EMP-001</x:v>
      </x:c>
      <x:c r="D277" s="45" t="str">
        <x:v>SITE-MGR</x:v>
      </x:c>
      <x:c r="E277" s="45" t="str">
        <x:v>Day</x:v>
      </x:c>
      <x:c r="F277" s="117" t="n">
        <x:v>5</x:v>
      </x:c>
      <x:c r="G277" s="117" t="n">
        <x:v>0</x:v>
      </x:c>
      <x:c r="H277" s="23" t="str">
        <x:v>W-001</x:v>
      </x:c>
    </x:row>
    <x:row r="278">
      <x:c r="A278" s="152" t="str">
        <x:v>AT-00275</x:v>
      </x:c>
      <x:c r="B278" s="49" t="n">
        <x:v>46159</x:v>
      </x:c>
      <x:c r="C278" s="45" t="str">
        <x:v>EMP-012</x:v>
      </x:c>
      <x:c r="D278" s="45" t="str">
        <x:v>HELPER</x:v>
      </x:c>
      <x:c r="E278" s="45" t="str">
        <x:v>Day</x:v>
      </x:c>
      <x:c r="F278" s="117" t="n">
        <x:v>5</x:v>
      </x:c>
      <x:c r="G278" s="117" t="n">
        <x:v>2</x:v>
      </x:c>
      <x:c r="H278" s="23" t="str">
        <x:v>W-010</x:v>
      </x:c>
    </x:row>
    <x:row r="279">
      <x:c r="A279" s="152" t="str">
        <x:v>AT-00276</x:v>
      </x:c>
      <x:c r="B279" s="49" t="n">
        <x:v>46159</x:v>
      </x:c>
      <x:c r="C279" s="45" t="str">
        <x:v>EMP-006</x:v>
      </x:c>
      <x:c r="D279" s="45" t="str">
        <x:v>ELECTRICIAN</x:v>
      </x:c>
      <x:c r="E279" s="45" t="str">
        <x:v>Day</x:v>
      </x:c>
      <x:c r="F279" s="117" t="n">
        <x:v>5</x:v>
      </x:c>
      <x:c r="G279" s="117" t="n">
        <x:v>1.5</x:v>
      </x:c>
      <x:c r="H279" s="23" t="str">
        <x:v>W-016</x:v>
      </x:c>
    </x:row>
    <x:row r="280">
      <x:c r="A280" s="152" t="str">
        <x:v>AT-00277</x:v>
      </x:c>
      <x:c r="B280" s="49" t="n">
        <x:v>46160</x:v>
      </x:c>
      <x:c r="C280" s="45" t="str">
        <x:v>EMP-001</x:v>
      </x:c>
      <x:c r="D280" s="45" t="str">
        <x:v>SITE-MGR</x:v>
      </x:c>
      <x:c r="E280" s="45" t="str">
        <x:v>Day</x:v>
      </x:c>
      <x:c r="F280" s="117" t="n">
        <x:v>8</x:v>
      </x:c>
      <x:c r="G280" s="117" t="n">
        <x:v>0</x:v>
      </x:c>
      <x:c r="H280" s="23" t="str">
        <x:v>W-005</x:v>
      </x:c>
    </x:row>
    <x:row r="281">
      <x:c r="A281" s="152" t="str">
        <x:v>AT-00278</x:v>
      </x:c>
      <x:c r="B281" s="49" t="n">
        <x:v>46160</x:v>
      </x:c>
      <x:c r="C281" s="45" t="str">
        <x:v>EMP-007</x:v>
      </x:c>
      <x:c r="D281" s="45" t="str">
        <x:v>ELECTRICIAN</x:v>
      </x:c>
      <x:c r="E281" s="45" t="str">
        <x:v>Day</x:v>
      </x:c>
      <x:c r="F281" s="117" t="n">
        <x:v>8</x:v>
      </x:c>
      <x:c r="G281" s="117" t="n">
        <x:v>0</x:v>
      </x:c>
      <x:c r="H281" s="23" t="str">
        <x:v>W-004</x:v>
      </x:c>
    </x:row>
    <x:row r="282">
      <x:c r="A282" s="152" t="str">
        <x:v>AT-00279</x:v>
      </x:c>
      <x:c r="B282" s="49" t="n">
        <x:v>46160</x:v>
      </x:c>
      <x:c r="C282" s="45" t="str">
        <x:v>EMP-005</x:v>
      </x:c>
      <x:c r="D282" s="45" t="str">
        <x:v>CARPENTER</x:v>
      </x:c>
      <x:c r="E282" s="45" t="str">
        <x:v>Day</x:v>
      </x:c>
      <x:c r="F282" s="117" t="n">
        <x:v>8</x:v>
      </x:c>
      <x:c r="G282" s="117" t="n">
        <x:v>1.5</x:v>
      </x:c>
      <x:c r="H282" s="23" t="str">
        <x:v>W-005</x:v>
      </x:c>
    </x:row>
    <x:row r="283">
      <x:c r="A283" s="152" t="str">
        <x:v>AT-00280</x:v>
      </x:c>
      <x:c r="B283" s="49" t="n">
        <x:v>46160</x:v>
      </x:c>
      <x:c r="C283" s="45" t="str">
        <x:v>EMP-004</x:v>
      </x:c>
      <x:c r="D283" s="45" t="str">
        <x:v>CARPENTER</x:v>
      </x:c>
      <x:c r="E283" s="45" t="str">
        <x:v>Day</x:v>
      </x:c>
      <x:c r="F283" s="117" t="n">
        <x:v>8</x:v>
      </x:c>
      <x:c r="G283" s="117" t="n">
        <x:v>0</x:v>
      </x:c>
      <x:c r="H283" s="23" t="str">
        <x:v>W-019</x:v>
      </x:c>
    </x:row>
    <x:row r="284">
      <x:c r="A284" s="152" t="str">
        <x:v>AT-00281</x:v>
      </x:c>
      <x:c r="B284" s="49" t="n">
        <x:v>46160</x:v>
      </x:c>
      <x:c r="C284" s="45" t="str">
        <x:v>EMP-002</x:v>
      </x:c>
      <x:c r="D284" s="45" t="str">
        <x:v>ENGINEER</x:v>
      </x:c>
      <x:c r="E284" s="45" t="str">
        <x:v>Day</x:v>
      </x:c>
      <x:c r="F284" s="117" t="n">
        <x:v>8</x:v>
      </x:c>
      <x:c r="G284" s="117" t="n">
        <x:v>0</x:v>
      </x:c>
      <x:c r="H284" s="23" t="str">
        <x:v>W-017</x:v>
      </x:c>
    </x:row>
    <x:row r="285">
      <x:c r="A285" s="152" t="str">
        <x:v>AT-00282</x:v>
      </x:c>
      <x:c r="B285" s="49" t="n">
        <x:v>46160</x:v>
      </x:c>
      <x:c r="C285" s="45" t="str">
        <x:v>EMP-008</x:v>
      </x:c>
      <x:c r="D285" s="45" t="str">
        <x:v>PLUMBER</x:v>
      </x:c>
      <x:c r="E285" s="45" t="str">
        <x:v>Day</x:v>
      </x:c>
      <x:c r="F285" s="117" t="n">
        <x:v>8</x:v>
      </x:c>
      <x:c r="G285" s="117" t="n">
        <x:v>0</x:v>
      </x:c>
      <x:c r="H285" s="23" t="str">
        <x:v>W-007</x:v>
      </x:c>
    </x:row>
    <x:row r="286">
      <x:c r="A286" s="152" t="str">
        <x:v>AT-00283</x:v>
      </x:c>
      <x:c r="B286" s="49" t="n">
        <x:v>46160</x:v>
      </x:c>
      <x:c r="C286" s="45" t="str">
        <x:v>EMP-011</x:v>
      </x:c>
      <x:c r="D286" s="45" t="str">
        <x:v>HELPER</x:v>
      </x:c>
      <x:c r="E286" s="45" t="str">
        <x:v>Day</x:v>
      </x:c>
      <x:c r="F286" s="117" t="n">
        <x:v>8</x:v>
      </x:c>
      <x:c r="G286" s="117" t="n">
        <x:v>0</x:v>
      </x:c>
      <x:c r="H286" s="23" t="str">
        <x:v>W-005</x:v>
      </x:c>
    </x:row>
    <x:row r="287">
      <x:c r="A287" s="152" t="str">
        <x:v>AT-00284</x:v>
      </x:c>
      <x:c r="B287" s="49" t="n">
        <x:v>46160</x:v>
      </x:c>
      <x:c r="C287" s="45" t="str">
        <x:v>EMP-012</x:v>
      </x:c>
      <x:c r="D287" s="45" t="str">
        <x:v>HELPER</x:v>
      </x:c>
      <x:c r="E287" s="45" t="str">
        <x:v>Day</x:v>
      </x:c>
      <x:c r="F287" s="117" t="n">
        <x:v>8</x:v>
      </x:c>
      <x:c r="G287" s="117" t="n">
        <x:v>1.5</x:v>
      </x:c>
      <x:c r="H287" s="23" t="str">
        <x:v>W-002</x:v>
      </x:c>
    </x:row>
    <x:row r="288">
      <x:c r="A288" s="152" t="str">
        <x:v>AT-00285</x:v>
      </x:c>
      <x:c r="B288" s="49" t="n">
        <x:v>46160</x:v>
      </x:c>
      <x:c r="C288" s="45" t="str">
        <x:v>EMP-006</x:v>
      </x:c>
      <x:c r="D288" s="45" t="str">
        <x:v>ELECTRICIAN</x:v>
      </x:c>
      <x:c r="E288" s="45" t="str">
        <x:v>Day</x:v>
      </x:c>
      <x:c r="F288" s="117" t="n">
        <x:v>8</x:v>
      </x:c>
      <x:c r="G288" s="117" t="n">
        <x:v>0</x:v>
      </x:c>
      <x:c r="H288" s="23" t="str">
        <x:v>W-004</x:v>
      </x:c>
    </x:row>
    <x:row r="289">
      <x:c r="A289" s="152" t="str">
        <x:v>AT-00286</x:v>
      </x:c>
      <x:c r="B289" s="49" t="n">
        <x:v>46160</x:v>
      </x:c>
      <x:c r="C289" s="45" t="str">
        <x:v>EMP-014</x:v>
      </x:c>
      <x:c r="D289" s="45" t="str">
        <x:v>SAFETY</x:v>
      </x:c>
      <x:c r="E289" s="45" t="str">
        <x:v>Day</x:v>
      </x:c>
      <x:c r="F289" s="117" t="n">
        <x:v>8</x:v>
      </x:c>
      <x:c r="G289" s="117" t="n">
        <x:v>0</x:v>
      </x:c>
      <x:c r="H289" s="23" t="str">
        <x:v>W-003</x:v>
      </x:c>
    </x:row>
    <x:row r="290">
      <x:c r="A290" s="152" t="str">
        <x:v>AT-00287</x:v>
      </x:c>
      <x:c r="B290" s="49" t="n">
        <x:v>46160</x:v>
      </x:c>
      <x:c r="C290" s="45" t="str">
        <x:v>EMP-013</x:v>
      </x:c>
      <x:c r="D290" s="45" t="str">
        <x:v>HELPER</x:v>
      </x:c>
      <x:c r="E290" s="45" t="str">
        <x:v>Day</x:v>
      </x:c>
      <x:c r="F290" s="117" t="n">
        <x:v>8</x:v>
      </x:c>
      <x:c r="G290" s="117" t="n">
        <x:v>0</x:v>
      </x:c>
      <x:c r="H290" s="23" t="str">
        <x:v>W-003</x:v>
      </x:c>
    </x:row>
    <x:row r="291">
      <x:c r="A291" s="152" t="str">
        <x:v>AT-00288</x:v>
      </x:c>
      <x:c r="B291" s="49" t="n">
        <x:v>46160</x:v>
      </x:c>
      <x:c r="C291" s="45" t="str">
        <x:v>EMP-015</x:v>
      </x:c>
      <x:c r="D291" s="45" t="str">
        <x:v>CARPENTER</x:v>
      </x:c>
      <x:c r="E291" s="45" t="str">
        <x:v>Day</x:v>
      </x:c>
      <x:c r="F291" s="117" t="n">
        <x:v>8</x:v>
      </x:c>
      <x:c r="G291" s="117" t="n">
        <x:v>2</x:v>
      </x:c>
      <x:c r="H291" s="23" t="str">
        <x:v>W-005</x:v>
      </x:c>
    </x:row>
    <x:row r="292">
      <x:c r="A292" s="152" t="str">
        <x:v>AT-00289</x:v>
      </x:c>
      <x:c r="B292" s="49" t="n">
        <x:v>46161</x:v>
      </x:c>
      <x:c r="C292" s="45" t="str">
        <x:v>EMP-001</x:v>
      </x:c>
      <x:c r="D292" s="45" t="str">
        <x:v>SITE-MGR</x:v>
      </x:c>
      <x:c r="E292" s="45" t="str">
        <x:v>Day</x:v>
      </x:c>
      <x:c r="F292" s="117" t="n">
        <x:v>8</x:v>
      </x:c>
      <x:c r="G292" s="117" t="n">
        <x:v>2</x:v>
      </x:c>
      <x:c r="H292" s="23" t="str">
        <x:v>W-008</x:v>
      </x:c>
    </x:row>
    <x:row r="293">
      <x:c r="A293" s="152" t="str">
        <x:v>AT-00290</x:v>
      </x:c>
      <x:c r="B293" s="49" t="n">
        <x:v>46161</x:v>
      </x:c>
      <x:c r="C293" s="45" t="str">
        <x:v>EMP-006</x:v>
      </x:c>
      <x:c r="D293" s="45" t="str">
        <x:v>ELECTRICIAN</x:v>
      </x:c>
      <x:c r="E293" s="45" t="str">
        <x:v>Day</x:v>
      </x:c>
      <x:c r="F293" s="117" t="n">
        <x:v>8</x:v>
      </x:c>
      <x:c r="G293" s="117" t="n">
        <x:v>1.5</x:v>
      </x:c>
      <x:c r="H293" s="23" t="str">
        <x:v>W-004</x:v>
      </x:c>
    </x:row>
    <x:row r="294">
      <x:c r="A294" s="152" t="str">
        <x:v>AT-00291</x:v>
      </x:c>
      <x:c r="B294" s="49" t="n">
        <x:v>46161</x:v>
      </x:c>
      <x:c r="C294" s="45" t="str">
        <x:v>EMP-013</x:v>
      </x:c>
      <x:c r="D294" s="45" t="str">
        <x:v>HELPER</x:v>
      </x:c>
      <x:c r="E294" s="45" t="str">
        <x:v>Day</x:v>
      </x:c>
      <x:c r="F294" s="117" t="n">
        <x:v>8</x:v>
      </x:c>
      <x:c r="G294" s="117" t="n">
        <x:v>2</x:v>
      </x:c>
      <x:c r="H294" s="23" t="str">
        <x:v>W-003</x:v>
      </x:c>
    </x:row>
    <x:row r="295">
      <x:c r="A295" s="152" t="str">
        <x:v>AT-00292</x:v>
      </x:c>
      <x:c r="B295" s="49" t="n">
        <x:v>46161</x:v>
      </x:c>
      <x:c r="C295" s="45" t="str">
        <x:v>EMP-004</x:v>
      </x:c>
      <x:c r="D295" s="45" t="str">
        <x:v>CARPENTER</x:v>
      </x:c>
      <x:c r="E295" s="45" t="str">
        <x:v>Day</x:v>
      </x:c>
      <x:c r="F295" s="117" t="n">
        <x:v>8</x:v>
      </x:c>
      <x:c r="G295" s="117" t="n">
        <x:v>1</x:v>
      </x:c>
      <x:c r="H295" s="23" t="str">
        <x:v>W-008</x:v>
      </x:c>
    </x:row>
    <x:row r="296">
      <x:c r="A296" s="152" t="str">
        <x:v>AT-00293</x:v>
      </x:c>
      <x:c r="B296" s="49" t="n">
        <x:v>46161</x:v>
      </x:c>
      <x:c r="C296" s="45" t="str">
        <x:v>EMP-010</x:v>
      </x:c>
      <x:c r="D296" s="45" t="str">
        <x:v>TILER</x:v>
      </x:c>
      <x:c r="E296" s="45" t="str">
        <x:v>Day</x:v>
      </x:c>
      <x:c r="F296" s="117" t="n">
        <x:v>8</x:v>
      </x:c>
      <x:c r="G296" s="117" t="n">
        <x:v>0</x:v>
      </x:c>
      <x:c r="H296" s="23" t="str">
        <x:v>W-018</x:v>
      </x:c>
    </x:row>
    <x:row r="297">
      <x:c r="A297" s="152" t="str">
        <x:v>AT-00294</x:v>
      </x:c>
      <x:c r="B297" s="49" t="n">
        <x:v>46161</x:v>
      </x:c>
      <x:c r="C297" s="45" t="str">
        <x:v>EMP-014</x:v>
      </x:c>
      <x:c r="D297" s="45" t="str">
        <x:v>SAFETY</x:v>
      </x:c>
      <x:c r="E297" s="45" t="str">
        <x:v>Day</x:v>
      </x:c>
      <x:c r="F297" s="117" t="n">
        <x:v>8</x:v>
      </x:c>
      <x:c r="G297" s="117" t="n">
        <x:v>1.5</x:v>
      </x:c>
      <x:c r="H297" s="23" t="str">
        <x:v>W-001</x:v>
      </x:c>
    </x:row>
    <x:row r="298">
      <x:c r="A298" s="152" t="str">
        <x:v>AT-00295</x:v>
      </x:c>
      <x:c r="B298" s="49" t="n">
        <x:v>46161</x:v>
      </x:c>
      <x:c r="C298" s="45" t="str">
        <x:v>EMP-015</x:v>
      </x:c>
      <x:c r="D298" s="45" t="str">
        <x:v>CARPENTER</x:v>
      </x:c>
      <x:c r="E298" s="45" t="str">
        <x:v>Day</x:v>
      </x:c>
      <x:c r="F298" s="117" t="n">
        <x:v>8</x:v>
      </x:c>
      <x:c r="G298" s="117" t="n">
        <x:v>1</x:v>
      </x:c>
      <x:c r="H298" s="23" t="str">
        <x:v>W-019</x:v>
      </x:c>
    </x:row>
    <x:row r="299">
      <x:c r="A299" s="152" t="str">
        <x:v>AT-00296</x:v>
      </x:c>
      <x:c r="B299" s="49" t="n">
        <x:v>46161</x:v>
      </x:c>
      <x:c r="C299" s="45" t="str">
        <x:v>EMP-003</x:v>
      </x:c>
      <x:c r="D299" s="45" t="str">
        <x:v>FOREMAN</x:v>
      </x:c>
      <x:c r="E299" s="45" t="str">
        <x:v>Day</x:v>
      </x:c>
      <x:c r="F299" s="117" t="n">
        <x:v>8</x:v>
      </x:c>
      <x:c r="G299" s="117" t="n">
        <x:v>0</x:v>
      </x:c>
      <x:c r="H299" s="23" t="str">
        <x:v>W-010</x:v>
      </x:c>
    </x:row>
    <x:row r="300">
      <x:c r="A300" s="152" t="str">
        <x:v>AT-00297</x:v>
      </x:c>
      <x:c r="B300" s="49" t="n">
        <x:v>46161</x:v>
      </x:c>
      <x:c r="C300" s="45" t="str">
        <x:v>EMP-008</x:v>
      </x:c>
      <x:c r="D300" s="45" t="str">
        <x:v>PLUMBER</x:v>
      </x:c>
      <x:c r="E300" s="45" t="str">
        <x:v>Day</x:v>
      </x:c>
      <x:c r="F300" s="117" t="n">
        <x:v>8</x:v>
      </x:c>
      <x:c r="G300" s="117" t="n">
        <x:v>0</x:v>
      </x:c>
      <x:c r="H300" s="23" t="str">
        <x:v>W-017</x:v>
      </x:c>
    </x:row>
    <x:row r="301">
      <x:c r="A301" s="152" t="str">
        <x:v>AT-00298</x:v>
      </x:c>
      <x:c r="B301" s="49" t="n">
        <x:v>46161</x:v>
      </x:c>
      <x:c r="C301" s="45" t="str">
        <x:v>EMP-009</x:v>
      </x:c>
      <x:c r="D301" s="45" t="str">
        <x:v>PAINTER</x:v>
      </x:c>
      <x:c r="E301" s="45" t="str">
        <x:v>Day</x:v>
      </x:c>
      <x:c r="F301" s="117" t="n">
        <x:v>8</x:v>
      </x:c>
      <x:c r="G301" s="117" t="n">
        <x:v>1</x:v>
      </x:c>
      <x:c r="H301" s="23" t="str">
        <x:v>W-015</x:v>
      </x:c>
    </x:row>
    <x:row r="302">
      <x:c r="A302" s="152" t="str">
        <x:v>AT-00299</x:v>
      </x:c>
      <x:c r="B302" s="49" t="n">
        <x:v>46161</x:v>
      </x:c>
      <x:c r="C302" s="45" t="str">
        <x:v>EMP-002</x:v>
      </x:c>
      <x:c r="D302" s="45" t="str">
        <x:v>ENGINEER</x:v>
      </x:c>
      <x:c r="E302" s="45" t="str">
        <x:v>Day</x:v>
      </x:c>
      <x:c r="F302" s="117" t="n">
        <x:v>8</x:v>
      </x:c>
      <x:c r="G302" s="117" t="n">
        <x:v>0</x:v>
      </x:c>
      <x:c r="H302" s="23" t="str">
        <x:v>W-004</x:v>
      </x:c>
    </x:row>
    <x:row r="303">
      <x:c r="A303" s="152" t="str">
        <x:v>AT-00300</x:v>
      </x:c>
      <x:c r="B303" s="49" t="n">
        <x:v>46162</x:v>
      </x:c>
      <x:c r="C303" s="45" t="str">
        <x:v>EMP-014</x:v>
      </x:c>
      <x:c r="D303" s="45" t="str">
        <x:v>SAFETY</x:v>
      </x:c>
      <x:c r="E303" s="45" t="str">
        <x:v>Day</x:v>
      </x:c>
      <x:c r="F303" s="117" t="n">
        <x:v>8</x:v>
      </x:c>
      <x:c r="G303" s="117" t="n">
        <x:v>0</x:v>
      </x:c>
      <x:c r="H303" s="23" t="str">
        <x:v>W-003</x:v>
      </x:c>
    </x:row>
    <x:row r="304">
      <x:c r="A304" s="152" t="str">
        <x:v>AT-00301</x:v>
      </x:c>
      <x:c r="B304" s="49" t="n">
        <x:v>46162</x:v>
      </x:c>
      <x:c r="C304" s="45" t="str">
        <x:v>EMP-007</x:v>
      </x:c>
      <x:c r="D304" s="45" t="str">
        <x:v>ELECTRICIAN</x:v>
      </x:c>
      <x:c r="E304" s="45" t="str">
        <x:v>Day</x:v>
      </x:c>
      <x:c r="F304" s="117" t="n">
        <x:v>8</x:v>
      </x:c>
      <x:c r="G304" s="117" t="n">
        <x:v>1.5</x:v>
      </x:c>
      <x:c r="H304" s="23" t="str">
        <x:v>W-016</x:v>
      </x:c>
    </x:row>
    <x:row r="305">
      <x:c r="A305" s="152" t="str">
        <x:v>AT-00302</x:v>
      </x:c>
      <x:c r="B305" s="49" t="n">
        <x:v>46162</x:v>
      </x:c>
      <x:c r="C305" s="45" t="str">
        <x:v>EMP-015</x:v>
      </x:c>
      <x:c r="D305" s="45" t="str">
        <x:v>CARPENTER</x:v>
      </x:c>
      <x:c r="E305" s="45" t="str">
        <x:v>Day</x:v>
      </x:c>
      <x:c r="F305" s="117" t="n">
        <x:v>8</x:v>
      </x:c>
      <x:c r="G305" s="117" t="n">
        <x:v>1.5</x:v>
      </x:c>
      <x:c r="H305" s="23" t="str">
        <x:v>W-019</x:v>
      </x:c>
    </x:row>
    <x:row r="306">
      <x:c r="A306" s="152" t="str">
        <x:v>AT-00303</x:v>
      </x:c>
      <x:c r="B306" s="49" t="n">
        <x:v>46162</x:v>
      </x:c>
      <x:c r="C306" s="45" t="str">
        <x:v>EMP-011</x:v>
      </x:c>
      <x:c r="D306" s="45" t="str">
        <x:v>HELPER</x:v>
      </x:c>
      <x:c r="E306" s="45" t="str">
        <x:v>Day</x:v>
      </x:c>
      <x:c r="F306" s="117" t="n">
        <x:v>8</x:v>
      </x:c>
      <x:c r="G306" s="117" t="n">
        <x:v>2</x:v>
      </x:c>
      <x:c r="H306" s="23" t="str">
        <x:v>W-010</x:v>
      </x:c>
    </x:row>
    <x:row r="307">
      <x:c r="A307" s="152" t="str">
        <x:v>AT-00304</x:v>
      </x:c>
      <x:c r="B307" s="49" t="n">
        <x:v>46162</x:v>
      </x:c>
      <x:c r="C307" s="45" t="str">
        <x:v>EMP-002</x:v>
      </x:c>
      <x:c r="D307" s="45" t="str">
        <x:v>ENGINEER</x:v>
      </x:c>
      <x:c r="E307" s="45" t="str">
        <x:v>Day</x:v>
      </x:c>
      <x:c r="F307" s="117" t="n">
        <x:v>8</x:v>
      </x:c>
      <x:c r="G307" s="117" t="n">
        <x:v>1</x:v>
      </x:c>
      <x:c r="H307" s="23" t="str">
        <x:v>W-017</x:v>
      </x:c>
    </x:row>
    <x:row r="308">
      <x:c r="A308" s="152" t="str">
        <x:v>AT-00305</x:v>
      </x:c>
      <x:c r="B308" s="49" t="n">
        <x:v>46162</x:v>
      </x:c>
      <x:c r="C308" s="45" t="str">
        <x:v>EMP-008</x:v>
      </x:c>
      <x:c r="D308" s="45" t="str">
        <x:v>PLUMBER</x:v>
      </x:c>
      <x:c r="E308" s="45" t="str">
        <x:v>Day</x:v>
      </x:c>
      <x:c r="F308" s="117" t="n">
        <x:v>8</x:v>
      </x:c>
      <x:c r="G308" s="117" t="n">
        <x:v>1.5</x:v>
      </x:c>
      <x:c r="H308" s="23" t="str">
        <x:v>W-017</x:v>
      </x:c>
    </x:row>
    <x:row r="309">
      <x:c r="A309" s="152" t="str">
        <x:v>AT-00306</x:v>
      </x:c>
      <x:c r="B309" s="49" t="n">
        <x:v>46162</x:v>
      </x:c>
      <x:c r="C309" s="45" t="str">
        <x:v>EMP-010</x:v>
      </x:c>
      <x:c r="D309" s="45" t="str">
        <x:v>TILER</x:v>
      </x:c>
      <x:c r="E309" s="45" t="str">
        <x:v>Day</x:v>
      </x:c>
      <x:c r="F309" s="117" t="n">
        <x:v>8</x:v>
      </x:c>
      <x:c r="G309" s="117" t="n">
        <x:v>1</x:v>
      </x:c>
      <x:c r="H309" s="23" t="str">
        <x:v>W-018</x:v>
      </x:c>
    </x:row>
    <x:row r="310">
      <x:c r="A310" s="152" t="str">
        <x:v>AT-00307</x:v>
      </x:c>
      <x:c r="B310" s="49" t="n">
        <x:v>46162</x:v>
      </x:c>
      <x:c r="C310" s="45" t="str">
        <x:v>EMP-012</x:v>
      </x:c>
      <x:c r="D310" s="45" t="str">
        <x:v>HELPER</x:v>
      </x:c>
      <x:c r="E310" s="45" t="str">
        <x:v>Day</x:v>
      </x:c>
      <x:c r="F310" s="117" t="n">
        <x:v>8</x:v>
      </x:c>
      <x:c r="G310" s="117" t="n">
        <x:v>1.5</x:v>
      </x:c>
      <x:c r="H310" s="23" t="str">
        <x:v>W-011</x:v>
      </x:c>
    </x:row>
    <x:row r="311">
      <x:c r="A311" s="152" t="str">
        <x:v>AT-00308</x:v>
      </x:c>
      <x:c r="B311" s="49" t="n">
        <x:v>46162</x:v>
      </x:c>
      <x:c r="C311" s="45" t="str">
        <x:v>EMP-001</x:v>
      </x:c>
      <x:c r="D311" s="45" t="str">
        <x:v>SITE-MGR</x:v>
      </x:c>
      <x:c r="E311" s="45" t="str">
        <x:v>Day</x:v>
      </x:c>
      <x:c r="F311" s="117" t="n">
        <x:v>8</x:v>
      </x:c>
      <x:c r="G311" s="117" t="n">
        <x:v>0</x:v>
      </x:c>
      <x:c r="H311" s="23" t="str">
        <x:v>W-001</x:v>
      </x:c>
    </x:row>
    <x:row r="312">
      <x:c r="A312" s="152" t="str">
        <x:v>AT-00309</x:v>
      </x:c>
      <x:c r="B312" s="49" t="n">
        <x:v>46162</x:v>
      </x:c>
      <x:c r="C312" s="45" t="str">
        <x:v>EMP-003</x:v>
      </x:c>
      <x:c r="D312" s="45" t="str">
        <x:v>FOREMAN</x:v>
      </x:c>
      <x:c r="E312" s="45" t="str">
        <x:v>Day</x:v>
      </x:c>
      <x:c r="F312" s="117" t="n">
        <x:v>8</x:v>
      </x:c>
      <x:c r="G312" s="117" t="n">
        <x:v>2</x:v>
      </x:c>
      <x:c r="H312" s="23" t="str">
        <x:v>W-010</x:v>
      </x:c>
    </x:row>
    <x:row r="313">
      <x:c r="A313" s="152" t="str">
        <x:v>AT-00310</x:v>
      </x:c>
      <x:c r="B313" s="49" t="n">
        <x:v>46162</x:v>
      </x:c>
      <x:c r="C313" s="45" t="str">
        <x:v>EMP-005</x:v>
      </x:c>
      <x:c r="D313" s="45" t="str">
        <x:v>CARPENTER</x:v>
      </x:c>
      <x:c r="E313" s="45" t="str">
        <x:v>Day</x:v>
      </x:c>
      <x:c r="F313" s="117" t="n">
        <x:v>8</x:v>
      </x:c>
      <x:c r="G313" s="117" t="n">
        <x:v>2</x:v>
      </x:c>
      <x:c r="H313" s="23" t="str">
        <x:v>W-005</x:v>
      </x:c>
    </x:row>
    <x:row r="314">
      <x:c r="A314" s="152" t="str">
        <x:v>AT-00311</x:v>
      </x:c>
      <x:c r="B314" s="49" t="n">
        <x:v>46162</x:v>
      </x:c>
      <x:c r="C314" s="45" t="str">
        <x:v>EMP-009</x:v>
      </x:c>
      <x:c r="D314" s="45" t="str">
        <x:v>PAINTER</x:v>
      </x:c>
      <x:c r="E314" s="45" t="str">
        <x:v>Day</x:v>
      </x:c>
      <x:c r="F314" s="117" t="n">
        <x:v>8</x:v>
      </x:c>
      <x:c r="G314" s="117" t="n">
        <x:v>1</x:v>
      </x:c>
      <x:c r="H314" s="23" t="str">
        <x:v>W-014</x:v>
      </x:c>
    </x:row>
    <x:row r="315">
      <x:c r="A315" s="152" t="str">
        <x:v>AT-00312</x:v>
      </x:c>
      <x:c r="B315" s="49" t="n">
        <x:v>46162</x:v>
      </x:c>
      <x:c r="C315" s="45" t="str">
        <x:v>EMP-013</x:v>
      </x:c>
      <x:c r="D315" s="45" t="str">
        <x:v>HELPER</x:v>
      </x:c>
      <x:c r="E315" s="45" t="str">
        <x:v>Day</x:v>
      </x:c>
      <x:c r="F315" s="117" t="n">
        <x:v>8</x:v>
      </x:c>
      <x:c r="G315" s="117" t="n">
        <x:v>0</x:v>
      </x:c>
      <x:c r="H315" s="23" t="str">
        <x:v>W-011</x:v>
      </x:c>
    </x:row>
    <x:row r="316">
      <x:c r="A316" s="152" t="str">
        <x:v>AT-00313</x:v>
      </x:c>
      <x:c r="B316" s="49" t="n">
        <x:v>46163</x:v>
      </x:c>
      <x:c r="C316" s="45" t="str">
        <x:v>EMP-014</x:v>
      </x:c>
      <x:c r="D316" s="45" t="str">
        <x:v>SAFETY</x:v>
      </x:c>
      <x:c r="E316" s="45" t="str">
        <x:v>Day</x:v>
      </x:c>
      <x:c r="F316" s="117" t="n">
        <x:v>8</x:v>
      </x:c>
      <x:c r="G316" s="117" t="n">
        <x:v>2</x:v>
      </x:c>
      <x:c r="H316" s="23" t="str">
        <x:v>W-020</x:v>
      </x:c>
    </x:row>
    <x:row r="317">
      <x:c r="A317" s="152" t="str">
        <x:v>AT-00314</x:v>
      </x:c>
      <x:c r="B317" s="49" t="n">
        <x:v>46163</x:v>
      </x:c>
      <x:c r="C317" s="45" t="str">
        <x:v>EMP-008</x:v>
      </x:c>
      <x:c r="D317" s="45" t="str">
        <x:v>PLUMBER</x:v>
      </x:c>
      <x:c r="E317" s="45" t="str">
        <x:v>Day</x:v>
      </x:c>
      <x:c r="F317" s="117" t="n">
        <x:v>8</x:v>
      </x:c>
      <x:c r="G317" s="117" t="n">
        <x:v>0</x:v>
      </x:c>
      <x:c r="H317" s="23" t="str">
        <x:v>W-007</x:v>
      </x:c>
    </x:row>
    <x:row r="318">
      <x:c r="A318" s="152" t="str">
        <x:v>AT-00315</x:v>
      </x:c>
      <x:c r="B318" s="49" t="n">
        <x:v>46163</x:v>
      </x:c>
      <x:c r="C318" s="45" t="str">
        <x:v>EMP-007</x:v>
      </x:c>
      <x:c r="D318" s="45" t="str">
        <x:v>ELECTRICIAN</x:v>
      </x:c>
      <x:c r="E318" s="45" t="str">
        <x:v>Day</x:v>
      </x:c>
      <x:c r="F318" s="117" t="n">
        <x:v>8</x:v>
      </x:c>
      <x:c r="G318" s="117" t="n">
        <x:v>0</x:v>
      </x:c>
      <x:c r="H318" s="23" t="str">
        <x:v>W-004</x:v>
      </x:c>
    </x:row>
    <x:row r="319">
      <x:c r="A319" s="152" t="str">
        <x:v>AT-00316</x:v>
      </x:c>
      <x:c r="B319" s="49" t="n">
        <x:v>46163</x:v>
      </x:c>
      <x:c r="C319" s="45" t="str">
        <x:v>EMP-013</x:v>
      </x:c>
      <x:c r="D319" s="45" t="str">
        <x:v>HELPER</x:v>
      </x:c>
      <x:c r="E319" s="45" t="str">
        <x:v>Day</x:v>
      </x:c>
      <x:c r="F319" s="117" t="n">
        <x:v>8</x:v>
      </x:c>
      <x:c r="G319" s="117" t="n">
        <x:v>1</x:v>
      </x:c>
      <x:c r="H319" s="23" t="str">
        <x:v>W-003</x:v>
      </x:c>
    </x:row>
    <x:row r="320">
      <x:c r="A320" s="152" t="str">
        <x:v>AT-00317</x:v>
      </x:c>
      <x:c r="B320" s="49" t="n">
        <x:v>46163</x:v>
      </x:c>
      <x:c r="C320" s="45" t="str">
        <x:v>EMP-002</x:v>
      </x:c>
      <x:c r="D320" s="45" t="str">
        <x:v>ENGINEER</x:v>
      </x:c>
      <x:c r="E320" s="45" t="str">
        <x:v>Day</x:v>
      </x:c>
      <x:c r="F320" s="117" t="n">
        <x:v>8</x:v>
      </x:c>
      <x:c r="G320" s="117" t="n">
        <x:v>2</x:v>
      </x:c>
      <x:c r="H320" s="23" t="str">
        <x:v>W-007</x:v>
      </x:c>
    </x:row>
    <x:row r="321">
      <x:c r="A321" s="152" t="str">
        <x:v>AT-00318</x:v>
      </x:c>
      <x:c r="B321" s="49" t="n">
        <x:v>46163</x:v>
      </x:c>
      <x:c r="C321" s="45" t="str">
        <x:v>EMP-006</x:v>
      </x:c>
      <x:c r="D321" s="45" t="str">
        <x:v>ELECTRICIAN</x:v>
      </x:c>
      <x:c r="E321" s="45" t="str">
        <x:v>Day</x:v>
      </x:c>
      <x:c r="F321" s="117" t="n">
        <x:v>8</x:v>
      </x:c>
      <x:c r="G321" s="117" t="n">
        <x:v>0</x:v>
      </x:c>
      <x:c r="H321" s="23" t="str">
        <x:v>W-016</x:v>
      </x:c>
    </x:row>
    <x:row r="322">
      <x:c r="A322" s="152" t="str">
        <x:v>AT-00319</x:v>
      </x:c>
      <x:c r="B322" s="49" t="n">
        <x:v>46163</x:v>
      </x:c>
      <x:c r="C322" s="45" t="str">
        <x:v>EMP-012</x:v>
      </x:c>
      <x:c r="D322" s="45" t="str">
        <x:v>HELPER</x:v>
      </x:c>
      <x:c r="E322" s="45" t="str">
        <x:v>Day</x:v>
      </x:c>
      <x:c r="F322" s="117" t="n">
        <x:v>8</x:v>
      </x:c>
      <x:c r="G322" s="117" t="n">
        <x:v>0</x:v>
      </x:c>
      <x:c r="H322" s="23" t="str">
        <x:v>W-010</x:v>
      </x:c>
    </x:row>
    <x:row r="323">
      <x:c r="A323" s="152" t="str">
        <x:v>AT-00320</x:v>
      </x:c>
      <x:c r="B323" s="49" t="n">
        <x:v>46163</x:v>
      </x:c>
      <x:c r="C323" s="45" t="str">
        <x:v>EMP-010</x:v>
      </x:c>
      <x:c r="D323" s="45" t="str">
        <x:v>TILER</x:v>
      </x:c>
      <x:c r="E323" s="45" t="str">
        <x:v>Day</x:v>
      </x:c>
      <x:c r="F323" s="117" t="n">
        <x:v>8</x:v>
      </x:c>
      <x:c r="G323" s="117" t="n">
        <x:v>2</x:v>
      </x:c>
      <x:c r="H323" s="23" t="str">
        <x:v>W-011</x:v>
      </x:c>
    </x:row>
    <x:row r="324">
      <x:c r="A324" s="152" t="str">
        <x:v>AT-00321</x:v>
      </x:c>
      <x:c r="B324" s="49" t="n">
        <x:v>46163</x:v>
      </x:c>
      <x:c r="C324" s="45" t="str">
        <x:v>EMP-015</x:v>
      </x:c>
      <x:c r="D324" s="45" t="str">
        <x:v>CARPENTER</x:v>
      </x:c>
      <x:c r="E324" s="45" t="str">
        <x:v>Day</x:v>
      </x:c>
      <x:c r="F324" s="117" t="n">
        <x:v>8</x:v>
      </x:c>
      <x:c r="G324" s="117" t="n">
        <x:v>1</x:v>
      </x:c>
      <x:c r="H324" s="23" t="str">
        <x:v>W-008</x:v>
      </x:c>
    </x:row>
    <x:row r="325">
      <x:c r="A325" s="152" t="str">
        <x:v>AT-00322</x:v>
      </x:c>
      <x:c r="B325" s="49" t="n">
        <x:v>46163</x:v>
      </x:c>
      <x:c r="C325" s="45" t="str">
        <x:v>EMP-003</x:v>
      </x:c>
      <x:c r="D325" s="45" t="str">
        <x:v>FOREMAN</x:v>
      </x:c>
      <x:c r="E325" s="45" t="str">
        <x:v>Day</x:v>
      </x:c>
      <x:c r="F325" s="117" t="n">
        <x:v>8</x:v>
      </x:c>
      <x:c r="G325" s="117" t="n">
        <x:v>2</x:v>
      </x:c>
      <x:c r="H325" s="23" t="str">
        <x:v>W-009</x:v>
      </x:c>
    </x:row>
    <x:row r="326">
      <x:c r="A326" s="152" t="str">
        <x:v>AT-00323</x:v>
      </x:c>
      <x:c r="B326" s="49" t="n">
        <x:v>46163</x:v>
      </x:c>
      <x:c r="C326" s="45" t="str">
        <x:v>EMP-009</x:v>
      </x:c>
      <x:c r="D326" s="45" t="str">
        <x:v>PAINTER</x:v>
      </x:c>
      <x:c r="E326" s="45" t="str">
        <x:v>Day</x:v>
      </x:c>
      <x:c r="F326" s="117" t="n">
        <x:v>8</x:v>
      </x:c>
      <x:c r="G326" s="117" t="n">
        <x:v>2</x:v>
      </x:c>
      <x:c r="H326" s="23" t="str">
        <x:v>W-010</x:v>
      </x:c>
    </x:row>
    <x:row r="327">
      <x:c r="A327" s="152" t="str">
        <x:v>AT-00324</x:v>
      </x:c>
      <x:c r="B327" s="49" t="n">
        <x:v>46163</x:v>
      </x:c>
      <x:c r="C327" s="45" t="str">
        <x:v>EMP-011</x:v>
      </x:c>
      <x:c r="D327" s="45" t="str">
        <x:v>HELPER</x:v>
      </x:c>
      <x:c r="E327" s="45" t="str">
        <x:v>Day</x:v>
      </x:c>
      <x:c r="F327" s="117" t="n">
        <x:v>8</x:v>
      </x:c>
      <x:c r="G327" s="117" t="n">
        <x:v>0</x:v>
      </x:c>
      <x:c r="H327" s="23" t="str">
        <x:v>W-009</x:v>
      </x:c>
    </x:row>
    <x:row r="328">
      <x:c r="A328" s="152" t="str">
        <x:v>AT-00325</x:v>
      </x:c>
      <x:c r="B328" s="49" t="n">
        <x:v>46164</x:v>
      </x:c>
      <x:c r="C328" s="45" t="str">
        <x:v>EMP-002</x:v>
      </x:c>
      <x:c r="D328" s="45" t="str">
        <x:v>ENGINEER</x:v>
      </x:c>
      <x:c r="E328" s="45" t="str">
        <x:v>Day</x:v>
      </x:c>
      <x:c r="F328" s="117" t="n">
        <x:v>8</x:v>
      </x:c>
      <x:c r="G328" s="117" t="n">
        <x:v>0</x:v>
      </x:c>
      <x:c r="H328" s="23" t="str">
        <x:v>W-017</x:v>
      </x:c>
    </x:row>
    <x:row r="329">
      <x:c r="A329" s="152" t="str">
        <x:v>AT-00326</x:v>
      </x:c>
      <x:c r="B329" s="49" t="n">
        <x:v>46164</x:v>
      </x:c>
      <x:c r="C329" s="45" t="str">
        <x:v>EMP-010</x:v>
      </x:c>
      <x:c r="D329" s="45" t="str">
        <x:v>TILER</x:v>
      </x:c>
      <x:c r="E329" s="45" t="str">
        <x:v>Day</x:v>
      </x:c>
      <x:c r="F329" s="117" t="n">
        <x:v>8</x:v>
      </x:c>
      <x:c r="G329" s="117" t="n">
        <x:v>0</x:v>
      </x:c>
      <x:c r="H329" s="23" t="str">
        <x:v>W-012</x:v>
      </x:c>
    </x:row>
    <x:row r="330">
      <x:c r="A330" s="152" t="str">
        <x:v>AT-00327</x:v>
      </x:c>
      <x:c r="B330" s="49" t="n">
        <x:v>46164</x:v>
      </x:c>
      <x:c r="C330" s="45" t="str">
        <x:v>EMP-009</x:v>
      </x:c>
      <x:c r="D330" s="45" t="str">
        <x:v>PAINTER</x:v>
      </x:c>
      <x:c r="E330" s="45" t="str">
        <x:v>Day</x:v>
      </x:c>
      <x:c r="F330" s="117" t="n">
        <x:v>8</x:v>
      </x:c>
      <x:c r="G330" s="117" t="n">
        <x:v>1.5</x:v>
      </x:c>
      <x:c r="H330" s="23" t="str">
        <x:v>W-015</x:v>
      </x:c>
    </x:row>
    <x:row r="331">
      <x:c r="A331" s="152" t="str">
        <x:v>AT-00328</x:v>
      </x:c>
      <x:c r="B331" s="49" t="n">
        <x:v>46164</x:v>
      </x:c>
      <x:c r="C331" s="45" t="str">
        <x:v>EMP-004</x:v>
      </x:c>
      <x:c r="D331" s="45" t="str">
        <x:v>CARPENTER</x:v>
      </x:c>
      <x:c r="E331" s="45" t="str">
        <x:v>Day</x:v>
      </x:c>
      <x:c r="F331" s="117" t="n">
        <x:v>8</x:v>
      </x:c>
      <x:c r="G331" s="117" t="n">
        <x:v>1.5</x:v>
      </x:c>
      <x:c r="H331" s="23" t="str">
        <x:v>W-019</x:v>
      </x:c>
    </x:row>
    <x:row r="332">
      <x:c r="A332" s="152" t="str">
        <x:v>AT-00329</x:v>
      </x:c>
      <x:c r="B332" s="49" t="n">
        <x:v>46164</x:v>
      </x:c>
      <x:c r="C332" s="45" t="str">
        <x:v>EMP-003</x:v>
      </x:c>
      <x:c r="D332" s="45" t="str">
        <x:v>FOREMAN</x:v>
      </x:c>
      <x:c r="E332" s="45" t="str">
        <x:v>Day</x:v>
      </x:c>
      <x:c r="F332" s="117" t="n">
        <x:v>8</x:v>
      </x:c>
      <x:c r="G332" s="117" t="n">
        <x:v>2</x:v>
      </x:c>
      <x:c r="H332" s="23" t="str">
        <x:v>W-010</x:v>
      </x:c>
    </x:row>
    <x:row r="333">
      <x:c r="A333" s="152" t="str">
        <x:v>AT-00330</x:v>
      </x:c>
      <x:c r="B333" s="49" t="n">
        <x:v>46164</x:v>
      </x:c>
      <x:c r="C333" s="45" t="str">
        <x:v>EMP-008</x:v>
      </x:c>
      <x:c r="D333" s="45" t="str">
        <x:v>PLUMBER</x:v>
      </x:c>
      <x:c r="E333" s="45" t="str">
        <x:v>Day</x:v>
      </x:c>
      <x:c r="F333" s="117" t="n">
        <x:v>8</x:v>
      </x:c>
      <x:c r="G333" s="117" t="n">
        <x:v>0</x:v>
      </x:c>
      <x:c r="H333" s="23" t="str">
        <x:v>W-017</x:v>
      </x:c>
    </x:row>
    <x:row r="334">
      <x:c r="A334" s="152" t="str">
        <x:v>AT-00331</x:v>
      </x:c>
      <x:c r="B334" s="49" t="n">
        <x:v>46164</x:v>
      </x:c>
      <x:c r="C334" s="45" t="str">
        <x:v>EMP-012</x:v>
      </x:c>
      <x:c r="D334" s="45" t="str">
        <x:v>HELPER</x:v>
      </x:c>
      <x:c r="E334" s="45" t="str">
        <x:v>Day</x:v>
      </x:c>
      <x:c r="F334" s="117" t="n">
        <x:v>8</x:v>
      </x:c>
      <x:c r="G334" s="117" t="n">
        <x:v>0</x:v>
      </x:c>
      <x:c r="H334" s="23" t="str">
        <x:v>W-005</x:v>
      </x:c>
    </x:row>
    <x:row r="335">
      <x:c r="A335" s="152" t="str">
        <x:v>AT-00332</x:v>
      </x:c>
      <x:c r="B335" s="49" t="n">
        <x:v>46164</x:v>
      </x:c>
      <x:c r="C335" s="45" t="str">
        <x:v>EMP-015</x:v>
      </x:c>
      <x:c r="D335" s="45" t="str">
        <x:v>CARPENTER</x:v>
      </x:c>
      <x:c r="E335" s="45" t="str">
        <x:v>Day</x:v>
      </x:c>
      <x:c r="F335" s="117" t="n">
        <x:v>8</x:v>
      </x:c>
      <x:c r="G335" s="117" t="n">
        <x:v>0</x:v>
      </x:c>
      <x:c r="H335" s="23" t="str">
        <x:v>W-019</x:v>
      </x:c>
    </x:row>
    <x:row r="336">
      <x:c r="A336" s="152" t="str">
        <x:v>AT-00333</x:v>
      </x:c>
      <x:c r="B336" s="49" t="n">
        <x:v>46164</x:v>
      </x:c>
      <x:c r="C336" s="45" t="str">
        <x:v>EMP-011</x:v>
      </x:c>
      <x:c r="D336" s="45" t="str">
        <x:v>HELPER</x:v>
      </x:c>
      <x:c r="E336" s="45" t="str">
        <x:v>Day</x:v>
      </x:c>
      <x:c r="F336" s="117" t="n">
        <x:v>8</x:v>
      </x:c>
      <x:c r="G336" s="117" t="n">
        <x:v>0</x:v>
      </x:c>
      <x:c r="H336" s="23" t="str">
        <x:v>W-010</x:v>
      </x:c>
    </x:row>
    <x:row r="337">
      <x:c r="A337" s="152" t="str">
        <x:v>AT-00334</x:v>
      </x:c>
      <x:c r="B337" s="49" t="n">
        <x:v>46164</x:v>
      </x:c>
      <x:c r="C337" s="45" t="str">
        <x:v>EMP-005</x:v>
      </x:c>
      <x:c r="D337" s="45" t="str">
        <x:v>CARPENTER</x:v>
      </x:c>
      <x:c r="E337" s="45" t="str">
        <x:v>Day</x:v>
      </x:c>
      <x:c r="F337" s="117" t="n">
        <x:v>8</x:v>
      </x:c>
      <x:c r="G337" s="117" t="n">
        <x:v>0</x:v>
      </x:c>
      <x:c r="H337" s="23" t="str">
        <x:v>W-005</x:v>
      </x:c>
    </x:row>
    <x:row r="338">
      <x:c r="A338" s="152" t="str">
        <x:v>AT-00335</x:v>
      </x:c>
      <x:c r="B338" s="49" t="n">
        <x:v>46164</x:v>
      </x:c>
      <x:c r="C338" s="45" t="str">
        <x:v>EMP-007</x:v>
      </x:c>
      <x:c r="D338" s="45" t="str">
        <x:v>ELECTRICIAN</x:v>
      </x:c>
      <x:c r="E338" s="45" t="str">
        <x:v>Day</x:v>
      </x:c>
      <x:c r="F338" s="117" t="n">
        <x:v>8</x:v>
      </x:c>
      <x:c r="G338" s="117" t="n">
        <x:v>0</x:v>
      </x:c>
      <x:c r="H338" s="23" t="str">
        <x:v>W-004</x:v>
      </x:c>
    </x:row>
    <x:row r="339">
      <x:c r="A339" s="153" t="str">
        <x:v>AT-00336</x:v>
      </x:c>
      <x:c r="B339" s="65" t="n">
        <x:v>46164</x:v>
      </x:c>
      <x:c r="C339" s="46" t="str">
        <x:v>EMP-001</x:v>
      </x:c>
      <x:c r="D339" s="46" t="str">
        <x:v>SITE-MGR</x:v>
      </x:c>
      <x:c r="E339" s="46" t="str">
        <x:v>Day</x:v>
      </x:c>
      <x:c r="F339" s="120" t="n">
        <x:v>8</x:v>
      </x:c>
      <x:c r="G339" s="120" t="n">
        <x:v>1.5</x:v>
      </x:c>
      <x:c r="H339" s="25" t="str">
        <x:v>W-008</x:v>
      </x:c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H1"/>
  </x:mergeCells>
  <x:dataValidations count="1">
    <x:dataValidation type="list" sqref="D4:D339">
      <x:formula1>Lists!$C$2:$C$11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89b48238f47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30" hidden="0" customWidth="1"/>
    <x:col min="7" max="7" width="12" hidden="0" customWidth="1"/>
    <x:col min="8" max="8" width="10" hidden="0" customWidth="1"/>
    <x:col min="9" max="9" width="17" hidden="0" customWidth="1"/>
    <x:col min="10" max="10" width="17" hidden="0" customWidth="1"/>
    <x:col min="11" max="11" width="13" hidden="0" customWidth="1"/>
  </x:cols>
  <x:sheetData>
    <x:row r="1">
      <x:c r="A1" s="5" t="str">
        <x:v>МАТЕРИАЛЫН ОРЛОГО БА ЗАРЦУУЛАЛТ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3"/>
    </x:row>
    <x:row r="3">
      <x:c r="A3" s="14" t="str">
        <x:v>Material_Txn_ID</x:v>
      </x:c>
      <x:c r="B3" s="14" t="str">
        <x:v>Date</x:v>
      </x:c>
      <x:c r="C3" s="14" t="str">
        <x:v>Work_Code</x:v>
      </x:c>
      <x:c r="D3" s="14" t="str">
        <x:v>Material_Code</x:v>
      </x:c>
      <x:c r="E3" s="14" t="str">
        <x:v>Category</x:v>
      </x:c>
      <x:c r="F3" s="14" t="str">
        <x:v>Description</x:v>
      </x:c>
      <x:c r="G3" s="14" t="str">
        <x:v>Qty</x:v>
      </x:c>
      <x:c r="H3" s="14" t="str">
        <x:v>Unit</x:v>
      </x:c>
      <x:c r="I3" s="14" t="str">
        <x:v>Unit_Cost_Adjusted</x:v>
      </x:c>
      <x:c r="J3" s="14" t="str">
        <x:v>Total_Cost</x:v>
      </x:c>
      <x:c r="K3" s="14" t="str">
        <x:v>Vendor_Code</x:v>
      </x:c>
    </x:row>
    <x:row r="4">
      <x:c r="A4" s="151" t="str">
        <x:v>MT-0001</x:v>
      </x:c>
      <x:c r="B4" s="59" t="n">
        <x:v>46142</x:v>
      </x:c>
      <x:c r="C4" s="44" t="str">
        <x:v>W-005</x:v>
      </x:c>
      <x:c r="D4" s="44" t="str">
        <x:v>MAT-002</x:v>
      </x:c>
      <x:c r="E4" s="44" t="str">
        <x:v>Gypsum</x:v>
      </x:c>
      <x:c r="F4" s="44" t="str">
        <x:v>Металл профиль</x:v>
      </x:c>
      <x:c r="G4" s="60" t="n">
        <x:v>38.41</x:v>
      </x:c>
      <x:c r="H4" s="44" t="str">
        <x:v>m</x:v>
      </x:c>
      <x:c r="I4" s="62" t="n">
        <x:v>8510</x:v>
      </x:c>
      <x:c r="J4" s="62" t="n">
        <x:v>326870</x:v>
      </x:c>
      <x:c r="K4" s="21" t="str">
        <x:v>SUP-001</x:v>
      </x:c>
    </x:row>
    <x:row r="5">
      <x:c r="A5" s="152" t="str">
        <x:v>MT-0002</x:v>
      </x:c>
      <x:c r="B5" s="49" t="n">
        <x:v>46142</x:v>
      </x:c>
      <x:c r="C5" s="45" t="str">
        <x:v>W-005</x:v>
      </x:c>
      <x:c r="D5" s="45" t="str">
        <x:v>MAT-015</x:v>
      </x:c>
      <x:c r="E5" s="45" t="str">
        <x:v>Fastener</x:v>
      </x:c>
      <x:c r="F5" s="45" t="str">
        <x:v>Шруп, бэхэлгээ</x:v>
      </x:c>
      <x:c r="G5" s="51" t="n">
        <x:v>138.11</x:v>
      </x:c>
      <x:c r="H5" s="45" t="str">
        <x:v>box</x:v>
      </x:c>
      <x:c r="I5" s="57" t="n">
        <x:v>19600</x:v>
      </x:c>
      <x:c r="J5" s="57" t="n">
        <x:v>2706960</x:v>
      </x:c>
      <x:c r="K5" s="23" t="str">
        <x:v>SUP-002</x:v>
      </x:c>
    </x:row>
    <x:row r="6">
      <x:c r="A6" s="152" t="str">
        <x:v>MT-0003</x:v>
      </x:c>
      <x:c r="B6" s="49" t="n">
        <x:v>46142</x:v>
      </x:c>
      <x:c r="C6" s="45" t="str">
        <x:v>W-006</x:v>
      </x:c>
      <x:c r="D6" s="45" t="str">
        <x:v>MAT-004</x:v>
      </x:c>
      <x:c r="E6" s="45" t="str">
        <x:v>Electrical</x:v>
      </x:c>
      <x:c r="F6" s="45" t="str">
        <x:v>3×2.5 кабель</x:v>
      </x:c>
      <x:c r="G6" s="51" t="n">
        <x:v>84.27</x:v>
      </x:c>
      <x:c r="H6" s="45" t="str">
        <x:v>m</x:v>
      </x:c>
      <x:c r="I6" s="57" t="n">
        <x:v>7170</x:v>
      </x:c>
      <x:c r="J6" s="57" t="n">
        <x:v>604220</x:v>
      </x:c>
      <x:c r="K6" s="23" t="str">
        <x:v>SUP-003</x:v>
      </x:c>
    </x:row>
    <x:row r="7">
      <x:c r="A7" s="152" t="str">
        <x:v>MT-0004</x:v>
      </x:c>
      <x:c r="B7" s="49" t="n">
        <x:v>46145</x:v>
      </x:c>
      <x:c r="C7" s="45" t="str">
        <x:v>W-006</x:v>
      </x:c>
      <x:c r="D7" s="45" t="str">
        <x:v>MAT-004</x:v>
      </x:c>
      <x:c r="E7" s="45" t="str">
        <x:v>Electrical</x:v>
      </x:c>
      <x:c r="F7" s="45" t="str">
        <x:v>3×2.5 кабель</x:v>
      </x:c>
      <x:c r="G7" s="51" t="n">
        <x:v>40.97</x:v>
      </x:c>
      <x:c r="H7" s="45" t="str">
        <x:v>m</x:v>
      </x:c>
      <x:c r="I7" s="57" t="n">
        <x:v>7170</x:v>
      </x:c>
      <x:c r="J7" s="57" t="n">
        <x:v>293750</x:v>
      </x:c>
      <x:c r="K7" s="23" t="str">
        <x:v>SUP-003</x:v>
      </x:c>
    </x:row>
    <x:row r="8">
      <x:c r="A8" s="152" t="str">
        <x:v>MT-0005</x:v>
      </x:c>
      <x:c r="B8" s="49" t="n">
        <x:v>46142</x:v>
      </x:c>
      <x:c r="C8" s="45" t="str">
        <x:v>W-006</x:v>
      </x:c>
      <x:c r="D8" s="45" t="str">
        <x:v>MAT-005</x:v>
      </x:c>
      <x:c r="E8" s="45" t="str">
        <x:v>Electrical</x:v>
      </x:c>
      <x:c r="F8" s="45" t="str">
        <x:v>3×1.5 кабель</x:v>
      </x:c>
      <x:c r="G8" s="51" t="n">
        <x:v>68.52</x:v>
      </x:c>
      <x:c r="H8" s="45" t="str">
        <x:v>m</x:v>
      </x:c>
      <x:c r="I8" s="57" t="n">
        <x:v>5710</x:v>
      </x:c>
      <x:c r="J8" s="57" t="n">
        <x:v>391250</x:v>
      </x:c>
      <x:c r="K8" s="23" t="str">
        <x:v>SUP-005</x:v>
      </x:c>
    </x:row>
    <x:row r="9">
      <x:c r="A9" s="152" t="str">
        <x:v>MT-0006</x:v>
      </x:c>
      <x:c r="B9" s="49" t="n">
        <x:v>46145</x:v>
      </x:c>
      <x:c r="C9" s="45" t="str">
        <x:v>W-006</x:v>
      </x:c>
      <x:c r="D9" s="45" t="str">
        <x:v>MAT-005</x:v>
      </x:c>
      <x:c r="E9" s="45" t="str">
        <x:v>Electrical</x:v>
      </x:c>
      <x:c r="F9" s="45" t="str">
        <x:v>3×1.5 кабель</x:v>
      </x:c>
      <x:c r="G9" s="51" t="n">
        <x:v>113.38</x:v>
      </x:c>
      <x:c r="H9" s="45" t="str">
        <x:v>m</x:v>
      </x:c>
      <x:c r="I9" s="57" t="n">
        <x:v>5710</x:v>
      </x:c>
      <x:c r="J9" s="57" t="n">
        <x:v>647400</x:v>
      </x:c>
      <x:c r="K9" s="23" t="str">
        <x:v>SUP-001</x:v>
      </x:c>
    </x:row>
    <x:row r="10">
      <x:c r="A10" s="152" t="str">
        <x:v>MT-0007</x:v>
      </x:c>
      <x:c r="B10" s="49" t="n">
        <x:v>46148</x:v>
      </x:c>
      <x:c r="C10" s="45" t="str">
        <x:v>W-006</x:v>
      </x:c>
      <x:c r="D10" s="45" t="str">
        <x:v>MAT-005</x:v>
      </x:c>
      <x:c r="E10" s="45" t="str">
        <x:v>Electrical</x:v>
      </x:c>
      <x:c r="F10" s="45" t="str">
        <x:v>3×1.5 кабель</x:v>
      </x:c>
      <x:c r="G10" s="51" t="n">
        <x:v>40.67</x:v>
      </x:c>
      <x:c r="H10" s="45" t="str">
        <x:v>m</x:v>
      </x:c>
      <x:c r="I10" s="57" t="n">
        <x:v>5710</x:v>
      </x:c>
      <x:c r="J10" s="57" t="n">
        <x:v>232230</x:v>
      </x:c>
      <x:c r="K10" s="23" t="str">
        <x:v>SUP-005</x:v>
      </x:c>
    </x:row>
    <x:row r="11">
      <x:c r="A11" s="152" t="str">
        <x:v>MT-0008</x:v>
      </x:c>
      <x:c r="B11" s="49" t="n">
        <x:v>46143</x:v>
      </x:c>
      <x:c r="C11" s="45" t="str">
        <x:v>W-007</x:v>
      </x:c>
      <x:c r="D11" s="45" t="str">
        <x:v>MAT-007</x:v>
      </x:c>
      <x:c r="E11" s="45" t="str">
        <x:v>Plumbing</x:v>
      </x:c>
      <x:c r="F11" s="45" t="str">
        <x:v>PPR хоолой 25мм</x:v>
      </x:c>
      <x:c r="G11" s="51" t="n">
        <x:v>126.2</x:v>
      </x:c>
      <x:c r="H11" s="45" t="str">
        <x:v>m</x:v>
      </x:c>
      <x:c r="I11" s="57" t="n">
        <x:v>20380</x:v>
      </x:c>
      <x:c r="J11" s="57" t="n">
        <x:v>2571960</x:v>
      </x:c>
      <x:c r="K11" s="23" t="str">
        <x:v>SUP-003</x:v>
      </x:c>
    </x:row>
    <x:row r="12">
      <x:c r="A12" s="152" t="str">
        <x:v>MT-0009</x:v>
      </x:c>
      <x:c r="B12" s="49" t="n">
        <x:v>46143</x:v>
      </x:c>
      <x:c r="C12" s="45" t="str">
        <x:v>W-007</x:v>
      </x:c>
      <x:c r="D12" s="45" t="str">
        <x:v>MAT-008</x:v>
      </x:c>
      <x:c r="E12" s="45" t="str">
        <x:v>Plumbing</x:v>
      </x:c>
      <x:c r="F12" s="45" t="str">
        <x:v>Холбох хэрэгсэл</x:v>
      </x:c>
      <x:c r="G12" s="51" t="n">
        <x:v>124.22</x:v>
      </x:c>
      <x:c r="H12" s="45" t="str">
        <x:v>set</x:v>
      </x:c>
      <x:c r="I12" s="57" t="n">
        <x:v>15230</x:v>
      </x:c>
      <x:c r="J12" s="57" t="n">
        <x:v>1891870</x:v>
      </x:c>
      <x:c r="K12" s="23" t="str">
        <x:v>SUP-004</x:v>
      </x:c>
    </x:row>
    <x:row r="13">
      <x:c r="A13" s="152" t="str">
        <x:v>MT-0010</x:v>
      </x:c>
      <x:c r="B13" s="49" t="n">
        <x:v>46146</x:v>
      </x:c>
      <x:c r="C13" s="45" t="str">
        <x:v>W-007</x:v>
      </x:c>
      <x:c r="D13" s="45" t="str">
        <x:v>MAT-008</x:v>
      </x:c>
      <x:c r="E13" s="45" t="str">
        <x:v>Plumbing</x:v>
      </x:c>
      <x:c r="F13" s="45" t="str">
        <x:v>Холбох хэрэгсэл</x:v>
      </x:c>
      <x:c r="G13" s="51" t="n">
        <x:v>115.17</x:v>
      </x:c>
      <x:c r="H13" s="45" t="str">
        <x:v>set</x:v>
      </x:c>
      <x:c r="I13" s="57" t="n">
        <x:v>15230</x:v>
      </x:c>
      <x:c r="J13" s="57" t="n">
        <x:v>1754040</x:v>
      </x:c>
      <x:c r="K13" s="23" t="str">
        <x:v>SUP-004</x:v>
      </x:c>
    </x:row>
    <x:row r="14">
      <x:c r="A14" s="152" t="str">
        <x:v>MT-0011</x:v>
      </x:c>
      <x:c r="B14" s="49" t="n">
        <x:v>46149</x:v>
      </x:c>
      <x:c r="C14" s="45" t="str">
        <x:v>W-008</x:v>
      </x:c>
      <x:c r="D14" s="45" t="str">
        <x:v>MAT-001</x:v>
      </x:c>
      <x:c r="E14" s="45" t="str">
        <x:v>Gypsum</x:v>
      </x:c>
      <x:c r="F14" s="45" t="str">
        <x:v>Гипсэн хавтан 12.5мм</x:v>
      </x:c>
      <x:c r="G14" s="51" t="n">
        <x:v>50.57</x:v>
      </x:c>
      <x:c r="H14" s="45" t="str">
        <x:v>pcs</x:v>
      </x:c>
      <x:c r="I14" s="57" t="n">
        <x:v>31920</x:v>
      </x:c>
      <x:c r="J14" s="57" t="n">
        <x:v>1614190</x:v>
      </x:c>
      <x:c r="K14" s="23" t="str">
        <x:v>SUP-005</x:v>
      </x:c>
    </x:row>
    <x:row r="15">
      <x:c r="A15" s="152" t="str">
        <x:v>MT-0012</x:v>
      </x:c>
      <x:c r="B15" s="49" t="n">
        <x:v>46152</x:v>
      </x:c>
      <x:c r="C15" s="45" t="str">
        <x:v>W-008</x:v>
      </x:c>
      <x:c r="D15" s="45" t="str">
        <x:v>MAT-001</x:v>
      </x:c>
      <x:c r="E15" s="45" t="str">
        <x:v>Gypsum</x:v>
      </x:c>
      <x:c r="F15" s="45" t="str">
        <x:v>Гипсэн хавтан 12.5мм</x:v>
      </x:c>
      <x:c r="G15" s="51" t="n">
        <x:v>33.78</x:v>
      </x:c>
      <x:c r="H15" s="45" t="str">
        <x:v>pcs</x:v>
      </x:c>
      <x:c r="I15" s="57" t="n">
        <x:v>31920</x:v>
      </x:c>
      <x:c r="J15" s="57" t="n">
        <x:v>1078260</x:v>
      </x:c>
      <x:c r="K15" s="23" t="str">
        <x:v>SUP-004</x:v>
      </x:c>
    </x:row>
    <x:row r="16">
      <x:c r="A16" s="152" t="str">
        <x:v>MT-0013</x:v>
      </x:c>
      <x:c r="B16" s="49" t="n">
        <x:v>46149</x:v>
      </x:c>
      <x:c r="C16" s="45" t="str">
        <x:v>W-008</x:v>
      </x:c>
      <x:c r="D16" s="45" t="str">
        <x:v>MAT-003</x:v>
      </x:c>
      <x:c r="E16" s="45" t="str">
        <x:v>Gypsum</x:v>
      </x:c>
      <x:c r="F16" s="45" t="str">
        <x:v>Дуу тусгаарлагч хөвөн</x:v>
      </x:c>
      <x:c r="G16" s="51" t="n">
        <x:v>61.74</x:v>
      </x:c>
      <x:c r="H16" s="45" t="str">
        <x:v>m2</x:v>
      </x:c>
      <x:c r="I16" s="57" t="n">
        <x:v>22180</x:v>
      </x:c>
      <x:c r="J16" s="57" t="n">
        <x:v>1369390</x:v>
      </x:c>
      <x:c r="K16" s="23" t="str">
        <x:v>SUP-005</x:v>
      </x:c>
    </x:row>
    <x:row r="17">
      <x:c r="A17" s="152" t="str">
        <x:v>MT-0014</x:v>
      </x:c>
      <x:c r="B17" s="49" t="n">
        <x:v>46149</x:v>
      </x:c>
      <x:c r="C17" s="45" t="str">
        <x:v>W-008</x:v>
      </x:c>
      <x:c r="D17" s="45" t="str">
        <x:v>MAT-015</x:v>
      </x:c>
      <x:c r="E17" s="45" t="str">
        <x:v>Fastener</x:v>
      </x:c>
      <x:c r="F17" s="45" t="str">
        <x:v>Шруп, бэхэлгээ</x:v>
      </x:c>
      <x:c r="G17" s="51" t="n">
        <x:v>101.94</x:v>
      </x:c>
      <x:c r="H17" s="45" t="str">
        <x:v>box</x:v>
      </x:c>
      <x:c r="I17" s="57" t="n">
        <x:v>19600</x:v>
      </x:c>
      <x:c r="J17" s="57" t="n">
        <x:v>1998020</x:v>
      </x:c>
      <x:c r="K17" s="23" t="str">
        <x:v>SUP-003</x:v>
      </x:c>
    </x:row>
    <x:row r="18">
      <x:c r="A18" s="152" t="str">
        <x:v>MT-0015</x:v>
      </x:c>
      <x:c r="B18" s="49" t="n">
        <x:v>46152</x:v>
      </x:c>
      <x:c r="C18" s="45" t="str">
        <x:v>W-008</x:v>
      </x:c>
      <x:c r="D18" s="45" t="str">
        <x:v>MAT-015</x:v>
      </x:c>
      <x:c r="E18" s="45" t="str">
        <x:v>Fastener</x:v>
      </x:c>
      <x:c r="F18" s="45" t="str">
        <x:v>Шруп, бэхэлгээ</x:v>
      </x:c>
      <x:c r="G18" s="51" t="n">
        <x:v>22.49</x:v>
      </x:c>
      <x:c r="H18" s="45" t="str">
        <x:v>box</x:v>
      </x:c>
      <x:c r="I18" s="57" t="n">
        <x:v>19600</x:v>
      </x:c>
      <x:c r="J18" s="57" t="n">
        <x:v>440800</x:v>
      </x:c>
      <x:c r="K18" s="23" t="str">
        <x:v>SUP-004</x:v>
      </x:c>
    </x:row>
    <x:row r="19">
      <x:c r="A19" s="152" t="str">
        <x:v>MT-0016</x:v>
      </x:c>
      <x:c r="B19" s="49" t="n">
        <x:v>46151</x:v>
      </x:c>
      <x:c r="C19" s="45" t="str">
        <x:v>W-009</x:v>
      </x:c>
      <x:c r="D19" s="45" t="str">
        <x:v>MAT-002</x:v>
      </x:c>
      <x:c r="E19" s="45" t="str">
        <x:v>Gypsum</x:v>
      </x:c>
      <x:c r="F19" s="45" t="str">
        <x:v>Металл профиль</x:v>
      </x:c>
      <x:c r="G19" s="51" t="n">
        <x:v>24.04</x:v>
      </x:c>
      <x:c r="H19" s="45" t="str">
        <x:v>m</x:v>
      </x:c>
      <x:c r="I19" s="57" t="n">
        <x:v>8510</x:v>
      </x:c>
      <x:c r="J19" s="57" t="n">
        <x:v>204580</x:v>
      </x:c>
      <x:c r="K19" s="23" t="str">
        <x:v>SUP-002</x:v>
      </x:c>
    </x:row>
    <x:row r="20">
      <x:c r="A20" s="152" t="str">
        <x:v>MT-0017</x:v>
      </x:c>
      <x:c r="B20" s="49" t="n">
        <x:v>46154</x:v>
      </x:c>
      <x:c r="C20" s="45" t="str">
        <x:v>W-009</x:v>
      </x:c>
      <x:c r="D20" s="45" t="str">
        <x:v>MAT-002</x:v>
      </x:c>
      <x:c r="E20" s="45" t="str">
        <x:v>Gypsum</x:v>
      </x:c>
      <x:c r="F20" s="45" t="str">
        <x:v>Металл профиль</x:v>
      </x:c>
      <x:c r="G20" s="51" t="n">
        <x:v>64.73</x:v>
      </x:c>
      <x:c r="H20" s="45" t="str">
        <x:v>m</x:v>
      </x:c>
      <x:c r="I20" s="57" t="n">
        <x:v>8510</x:v>
      </x:c>
      <x:c r="J20" s="57" t="n">
        <x:v>550850</x:v>
      </x:c>
      <x:c r="K20" s="23" t="str">
        <x:v>SUP-002</x:v>
      </x:c>
    </x:row>
    <x:row r="21">
      <x:c r="A21" s="152" t="str">
        <x:v>MT-0018</x:v>
      </x:c>
      <x:c r="B21" s="49" t="n">
        <x:v>46157</x:v>
      </x:c>
      <x:c r="C21" s="45" t="str">
        <x:v>W-009</x:v>
      </x:c>
      <x:c r="D21" s="45" t="str">
        <x:v>MAT-002</x:v>
      </x:c>
      <x:c r="E21" s="45" t="str">
        <x:v>Gypsum</x:v>
      </x:c>
      <x:c r="F21" s="45" t="str">
        <x:v>Металл профиль</x:v>
      </x:c>
      <x:c r="G21" s="51" t="n">
        <x:v>141.61</x:v>
      </x:c>
      <x:c r="H21" s="45" t="str">
        <x:v>m</x:v>
      </x:c>
      <x:c r="I21" s="57" t="n">
        <x:v>8510</x:v>
      </x:c>
      <x:c r="J21" s="57" t="n">
        <x:v>1205100</x:v>
      </x:c>
      <x:c r="K21" s="23" t="str">
        <x:v>SUP-003</x:v>
      </x:c>
    </x:row>
    <x:row r="22">
      <x:c r="A22" s="152" t="str">
        <x:v>MT-0019</x:v>
      </x:c>
      <x:c r="B22" s="49" t="n">
        <x:v>46151</x:v>
      </x:c>
      <x:c r="C22" s="45" t="str">
        <x:v>W-009</x:v>
      </x:c>
      <x:c r="D22" s="45" t="str">
        <x:v>MAT-015</x:v>
      </x:c>
      <x:c r="E22" s="45" t="str">
        <x:v>Fastener</x:v>
      </x:c>
      <x:c r="F22" s="45" t="str">
        <x:v>Шруп, бэхэлгээ</x:v>
      </x:c>
      <x:c r="G22" s="51" t="n">
        <x:v>69.14</x:v>
      </x:c>
      <x:c r="H22" s="45" t="str">
        <x:v>box</x:v>
      </x:c>
      <x:c r="I22" s="57" t="n">
        <x:v>19600</x:v>
      </x:c>
      <x:c r="J22" s="57" t="n">
        <x:v>1355140</x:v>
      </x:c>
      <x:c r="K22" s="23" t="str">
        <x:v>SUP-001</x:v>
      </x:c>
    </x:row>
    <x:row r="23">
      <x:c r="A23" s="152" t="str">
        <x:v>MT-0020</x:v>
      </x:c>
      <x:c r="B23" s="49" t="n">
        <x:v>46154</x:v>
      </x:c>
      <x:c r="C23" s="45" t="str">
        <x:v>W-009</x:v>
      </x:c>
      <x:c r="D23" s="45" t="str">
        <x:v>MAT-015</x:v>
      </x:c>
      <x:c r="E23" s="45" t="str">
        <x:v>Fastener</x:v>
      </x:c>
      <x:c r="F23" s="45" t="str">
        <x:v>Шруп, бэхэлгээ</x:v>
      </x:c>
      <x:c r="G23" s="51" t="n">
        <x:v>97.07</x:v>
      </x:c>
      <x:c r="H23" s="45" t="str">
        <x:v>box</x:v>
      </x:c>
      <x:c r="I23" s="57" t="n">
        <x:v>19600</x:v>
      </x:c>
      <x:c r="J23" s="57" t="n">
        <x:v>1902570</x:v>
      </x:c>
      <x:c r="K23" s="23" t="str">
        <x:v>SUP-004</x:v>
      </x:c>
    </x:row>
    <x:row r="24">
      <x:c r="A24" s="152" t="str">
        <x:v>MT-0021</x:v>
      </x:c>
      <x:c r="B24" s="49" t="n">
        <x:v>46157</x:v>
      </x:c>
      <x:c r="C24" s="45" t="str">
        <x:v>W-010</x:v>
      </x:c>
      <x:c r="D24" s="45" t="str">
        <x:v>MAT-009</x:v>
      </x:c>
      <x:c r="E24" s="45" t="str">
        <x:v>Paint</x:v>
      </x:c>
      <x:c r="F24" s="45" t="str">
        <x:v>Праймер</x:v>
      </x:c>
      <x:c r="G24" s="51" t="n">
        <x:v>36.32</x:v>
      </x:c>
      <x:c r="H24" s="45" t="str">
        <x:v>kg</x:v>
      </x:c>
      <x:c r="I24" s="57" t="n">
        <x:v>10980</x:v>
      </x:c>
      <x:c r="J24" s="57" t="n">
        <x:v>398790</x:v>
      </x:c>
      <x:c r="K24" s="23" t="str">
        <x:v>SUP-005</x:v>
      </x:c>
    </x:row>
    <x:row r="25">
      <x:c r="A25" s="152" t="str">
        <x:v>MT-0022</x:v>
      </x:c>
      <x:c r="B25" s="49" t="n">
        <x:v>46155</x:v>
      </x:c>
      <x:c r="C25" s="45" t="str">
        <x:v>W-011</x:v>
      </x:c>
      <x:c r="D25" s="45" t="str">
        <x:v>MAT-011</x:v>
      </x:c>
      <x:c r="E25" s="45" t="str">
        <x:v>Flooring</x:v>
      </x:c>
      <x:c r="F25" s="45" t="str">
        <x:v>Шалны плитаны цавуу</x:v>
      </x:c>
      <x:c r="G25" s="51" t="n">
        <x:v>52.97</x:v>
      </x:c>
      <x:c r="H25" s="45" t="str">
        <x:v>bag</x:v>
      </x:c>
      <x:c r="I25" s="57" t="n">
        <x:v>43340</x:v>
      </x:c>
      <x:c r="J25" s="57" t="n">
        <x:v>2295720</x:v>
      </x:c>
      <x:c r="K25" s="23" t="str">
        <x:v>SUP-005</x:v>
      </x:c>
    </x:row>
    <x:row r="26">
      <x:c r="A26" s="152" t="str">
        <x:v>MT-0023</x:v>
      </x:c>
      <x:c r="B26" s="49" t="n">
        <x:v>46158</x:v>
      </x:c>
      <x:c r="C26" s="45" t="str">
        <x:v>W-011</x:v>
      </x:c>
      <x:c r="D26" s="45" t="str">
        <x:v>MAT-011</x:v>
      </x:c>
      <x:c r="E26" s="45" t="str">
        <x:v>Flooring</x:v>
      </x:c>
      <x:c r="F26" s="45" t="str">
        <x:v>Шалны плитаны цавуу</x:v>
      </x:c>
      <x:c r="G26" s="51" t="n">
        <x:v>152.5</x:v>
      </x:c>
      <x:c r="H26" s="45" t="str">
        <x:v>bag</x:v>
      </x:c>
      <x:c r="I26" s="57" t="n">
        <x:v>43340</x:v>
      </x:c>
      <x:c r="J26" s="57" t="n">
        <x:v>6609350</x:v>
      </x:c>
      <x:c r="K26" s="23" t="str">
        <x:v>SUP-003</x:v>
      </x:c>
    </x:row>
    <x:row r="27">
      <x:c r="A27" s="152" t="str">
        <x:v>MT-0024</x:v>
      </x:c>
      <x:c r="B27" s="49" t="n">
        <x:v>46161</x:v>
      </x:c>
      <x:c r="C27" s="45" t="str">
        <x:v>W-011</x:v>
      </x:c>
      <x:c r="D27" s="45" t="str">
        <x:v>MAT-011</x:v>
      </x:c>
      <x:c r="E27" s="45" t="str">
        <x:v>Flooring</x:v>
      </x:c>
      <x:c r="F27" s="45" t="str">
        <x:v>Шалны плитаны цавуу</x:v>
      </x:c>
      <x:c r="G27" s="51" t="n">
        <x:v>26.89</x:v>
      </x:c>
      <x:c r="H27" s="45" t="str">
        <x:v>bag</x:v>
      </x:c>
      <x:c r="I27" s="57" t="n">
        <x:v>43340</x:v>
      </x:c>
      <x:c r="J27" s="57" t="n">
        <x:v>1165410</x:v>
      </x:c>
      <x:c r="K27" s="23" t="str">
        <x:v>SUP-001</x:v>
      </x:c>
    </x:row>
    <x:row r="28">
      <x:c r="A28" s="152" t="str">
        <x:v>MT-0025</x:v>
      </x:c>
      <x:c r="B28" s="49" t="n">
        <x:v>46160</x:v>
      </x:c>
      <x:c r="C28" s="45" t="str">
        <x:v>W-012</x:v>
      </x:c>
      <x:c r="D28" s="45" t="str">
        <x:v>MAT-011</x:v>
      </x:c>
      <x:c r="E28" s="45" t="str">
        <x:v>Flooring</x:v>
      </x:c>
      <x:c r="F28" s="45" t="str">
        <x:v>Шалны плитаны цавуу</x:v>
      </x:c>
      <x:c r="G28" s="51" t="n">
        <x:v>18.09</x:v>
      </x:c>
      <x:c r="H28" s="45" t="str">
        <x:v>bag</x:v>
      </x:c>
      <x:c r="I28" s="57" t="n">
        <x:v>43340</x:v>
      </x:c>
      <x:c r="J28" s="57" t="n">
        <x:v>784020</x:v>
      </x:c>
      <x:c r="K28" s="23" t="str">
        <x:v>SUP-001</x:v>
      </x:c>
    </x:row>
    <x:row r="29">
      <x:c r="A29" s="152" t="str">
        <x:v>MT-0026</x:v>
      </x:c>
      <x:c r="B29" s="49" t="n">
        <x:v>46163</x:v>
      </x:c>
      <x:c r="C29" s="45" t="str">
        <x:v>W-012</x:v>
      </x:c>
      <x:c r="D29" s="45" t="str">
        <x:v>MAT-011</x:v>
      </x:c>
      <x:c r="E29" s="45" t="str">
        <x:v>Flooring</x:v>
      </x:c>
      <x:c r="F29" s="45" t="str">
        <x:v>Шалны плитаны цавуу</x:v>
      </x:c>
      <x:c r="G29" s="51" t="n">
        <x:v>157.25</x:v>
      </x:c>
      <x:c r="H29" s="45" t="str">
        <x:v>bag</x:v>
      </x:c>
      <x:c r="I29" s="57" t="n">
        <x:v>43340</x:v>
      </x:c>
      <x:c r="J29" s="57" t="n">
        <x:v>6815220</x:v>
      </x:c>
      <x:c r="K29" s="23" t="str">
        <x:v>SUP-005</x:v>
      </x:c>
    </x:row>
    <x:row r="30">
      <x:c r="A30" s="152" t="str">
        <x:v>MT-0027</x:v>
      </x:c>
      <x:c r="B30" s="49" t="n">
        <x:v>46160</x:v>
      </x:c>
      <x:c r="C30" s="45" t="str">
        <x:v>W-012</x:v>
      </x:c>
      <x:c r="D30" s="45" t="str">
        <x:v>MAT-012</x:v>
      </x:c>
      <x:c r="E30" s="45" t="str">
        <x:v>Flooring</x:v>
      </x:c>
      <x:c r="F30" s="45" t="str">
        <x:v>Плита</x:v>
      </x:c>
      <x:c r="G30" s="51" t="n">
        <x:v>109.61</x:v>
      </x:c>
      <x:c r="H30" s="45" t="str">
        <x:v>m2</x:v>
      </x:c>
      <x:c r="I30" s="57" t="n">
        <x:v>76720</x:v>
      </x:c>
      <x:c r="J30" s="57" t="n">
        <x:v>8409280</x:v>
      </x:c>
      <x:c r="K30" s="23" t="str">
        <x:v>SUP-004</x:v>
      </x:c>
    </x:row>
    <x:row r="31">
      <x:c r="A31" s="152" t="str">
        <x:v>MT-0028</x:v>
      </x:c>
      <x:c r="B31" s="49" t="n">
        <x:v>46163</x:v>
      </x:c>
      <x:c r="C31" s="45" t="str">
        <x:v>W-012</x:v>
      </x:c>
      <x:c r="D31" s="45" t="str">
        <x:v>MAT-012</x:v>
      </x:c>
      <x:c r="E31" s="45" t="str">
        <x:v>Flooring</x:v>
      </x:c>
      <x:c r="F31" s="45" t="str">
        <x:v>Плита</x:v>
      </x:c>
      <x:c r="G31" s="51" t="n">
        <x:v>62.77</x:v>
      </x:c>
      <x:c r="H31" s="45" t="str">
        <x:v>m2</x:v>
      </x:c>
      <x:c r="I31" s="57" t="n">
        <x:v>76720</x:v>
      </x:c>
      <x:c r="J31" s="57" t="n">
        <x:v>4815710</x:v>
      </x:c>
      <x:c r="K31" s="23" t="str">
        <x:v>SUP-004</x:v>
      </x:c>
    </x:row>
    <x:row r="32">
      <x:c r="A32" s="152" t="str">
        <x:v>MT-0029</x:v>
      </x:c>
      <x:c r="B32" s="49" t="n">
        <x:v>46158</x:v>
      </x:c>
      <x:c r="C32" s="45" t="str">
        <x:v>W-013</x:v>
      </x:c>
      <x:c r="D32" s="45" t="str">
        <x:v>MAT-014</x:v>
      </x:c>
      <x:c r="E32" s="45" t="str">
        <x:v>Ceiling</x:v>
      </x:c>
      <x:c r="F32" s="45" t="str">
        <x:v>Таазны хавтан</x:v>
      </x:c>
      <x:c r="G32" s="51" t="n">
        <x:v>174.42</x:v>
      </x:c>
      <x:c r="H32" s="45" t="str">
        <x:v>m2</x:v>
      </x:c>
      <x:c r="I32" s="57" t="n">
        <x:v>36290</x:v>
      </x:c>
      <x:c r="J32" s="57" t="n">
        <x:v>6329700</x:v>
      </x:c>
      <x:c r="K32" s="23" t="str">
        <x:v>SUP-002</x:v>
      </x:c>
    </x:row>
    <x:row r="33">
      <x:c r="A33" s="152" t="str">
        <x:v>MT-0030</x:v>
      </x:c>
      <x:c r="B33" s="49" t="n">
        <x:v>46164</x:v>
      </x:c>
      <x:c r="C33" s="45" t="str">
        <x:v>W-014</x:v>
      </x:c>
      <x:c r="D33" s="45" t="str">
        <x:v>MAT-009</x:v>
      </x:c>
      <x:c r="E33" s="45" t="str">
        <x:v>Paint</x:v>
      </x:c>
      <x:c r="F33" s="45" t="str">
        <x:v>Праймер</x:v>
      </x:c>
      <x:c r="G33" s="51" t="n">
        <x:v>90.92</x:v>
      </x:c>
      <x:c r="H33" s="45" t="str">
        <x:v>kg</x:v>
      </x:c>
      <x:c r="I33" s="57" t="n">
        <x:v>10980</x:v>
      </x:c>
      <x:c r="J33" s="57" t="n">
        <x:v>998300</x:v>
      </x:c>
      <x:c r="K33" s="23" t="str">
        <x:v>SUP-003</x:v>
      </x:c>
    </x:row>
    <x:row r="34">
      <x:c r="A34" s="152" t="str">
        <x:v>MT-0031</x:v>
      </x:c>
      <x:c r="B34" s="49" t="n">
        <x:v>46167</x:v>
      </x:c>
      <x:c r="C34" s="45" t="str">
        <x:v>W-014</x:v>
      </x:c>
      <x:c r="D34" s="45" t="str">
        <x:v>MAT-009</x:v>
      </x:c>
      <x:c r="E34" s="45" t="str">
        <x:v>Paint</x:v>
      </x:c>
      <x:c r="F34" s="45" t="str">
        <x:v>Праймер</x:v>
      </x:c>
      <x:c r="G34" s="51" t="n">
        <x:v>29.54</x:v>
      </x:c>
      <x:c r="H34" s="45" t="str">
        <x:v>kg</x:v>
      </x:c>
      <x:c r="I34" s="57" t="n">
        <x:v>10980</x:v>
      </x:c>
      <x:c r="J34" s="57" t="n">
        <x:v>324350</x:v>
      </x:c>
      <x:c r="K34" s="23" t="str">
        <x:v>SUP-001</x:v>
      </x:c>
    </x:row>
    <x:row r="35">
      <x:c r="A35" s="152" t="str">
        <x:v>MT-0032</x:v>
      </x:c>
      <x:c r="B35" s="49" t="n">
        <x:v>46170</x:v>
      </x:c>
      <x:c r="C35" s="45" t="str">
        <x:v>W-014</x:v>
      </x:c>
      <x:c r="D35" s="45" t="str">
        <x:v>MAT-009</x:v>
      </x:c>
      <x:c r="E35" s="45" t="str">
        <x:v>Paint</x:v>
      </x:c>
      <x:c r="F35" s="45" t="str">
        <x:v>Праймер</x:v>
      </x:c>
      <x:c r="G35" s="51" t="n">
        <x:v>55.15</x:v>
      </x:c>
      <x:c r="H35" s="45" t="str">
        <x:v>kg</x:v>
      </x:c>
      <x:c r="I35" s="57" t="n">
        <x:v>10980</x:v>
      </x:c>
      <x:c r="J35" s="57" t="n">
        <x:v>605550</x:v>
      </x:c>
      <x:c r="K35" s="23" t="str">
        <x:v>SUP-005</x:v>
      </x:c>
    </x:row>
    <x:row r="36">
      <x:c r="A36" s="152" t="str">
        <x:v>MT-0033</x:v>
      </x:c>
      <x:c r="B36" s="49" t="n">
        <x:v>46169</x:v>
      </x:c>
      <x:c r="C36" s="45" t="str">
        <x:v>W-015</x:v>
      </x:c>
      <x:c r="D36" s="45" t="str">
        <x:v>MAT-010</x:v>
      </x:c>
      <x:c r="E36" s="45" t="str">
        <x:v>Paint</x:v>
      </x:c>
      <x:c r="F36" s="45" t="str">
        <x:v>Дотор заслын будаг</x:v>
      </x:c>
      <x:c r="G36" s="51" t="n">
        <x:v>101.45</x:v>
      </x:c>
      <x:c r="H36" s="45" t="str">
        <x:v>kg</x:v>
      </x:c>
      <x:c r="I36" s="57" t="n">
        <x:v>23970</x:v>
      </x:c>
      <x:c r="J36" s="57" t="n">
        <x:v>2431760</x:v>
      </x:c>
      <x:c r="K36" s="23" t="str">
        <x:v>SUP-004</x:v>
      </x:c>
    </x:row>
    <x:row r="37">
      <x:c r="A37" s="152" t="str">
        <x:v>MT-0034</x:v>
      </x:c>
      <x:c r="B37" s="49" t="n">
        <x:v>46172</x:v>
      </x:c>
      <x:c r="C37" s="45" t="str">
        <x:v>W-015</x:v>
      </x:c>
      <x:c r="D37" s="45" t="str">
        <x:v>MAT-010</x:v>
      </x:c>
      <x:c r="E37" s="45" t="str">
        <x:v>Paint</x:v>
      </x:c>
      <x:c r="F37" s="45" t="str">
        <x:v>Дотор заслын будаг</x:v>
      </x:c>
      <x:c r="G37" s="51" t="n">
        <x:v>158.64</x:v>
      </x:c>
      <x:c r="H37" s="45" t="str">
        <x:v>kg</x:v>
      </x:c>
      <x:c r="I37" s="57" t="n">
        <x:v>23970</x:v>
      </x:c>
      <x:c r="J37" s="57" t="n">
        <x:v>3802600</x:v>
      </x:c>
      <x:c r="K37" s="23" t="str">
        <x:v>SUP-003</x:v>
      </x:c>
    </x:row>
    <x:row r="38">
      <x:c r="A38" s="152" t="str">
        <x:v>MT-0035</x:v>
      </x:c>
      <x:c r="B38" s="49" t="n">
        <x:v>46164</x:v>
      </x:c>
      <x:c r="C38" s="45" t="str">
        <x:v>W-016</x:v>
      </x:c>
      <x:c r="D38" s="45" t="str">
        <x:v>MAT-006</x:v>
      </x:c>
      <x:c r="E38" s="45" t="str">
        <x:v>Electrical</x:v>
      </x:c>
      <x:c r="F38" s="45" t="str">
        <x:v>LED гэрэлтүүлэг</x:v>
      </x:c>
      <x:c r="G38" s="51" t="n">
        <x:v>69.96</x:v>
      </x:c>
      <x:c r="H38" s="45" t="str">
        <x:v>pcs</x:v>
      </x:c>
      <x:c r="I38" s="57" t="n">
        <x:v>103040</x:v>
      </x:c>
      <x:c r="J38" s="57" t="n">
        <x:v>7208680</x:v>
      </x:c>
      <x:c r="K38" s="23" t="str">
        <x:v>SUP-002</x:v>
      </x:c>
    </x:row>
    <x:row r="39">
      <x:c r="A39" s="153" t="str">
        <x:v>MT-0036</x:v>
      </x:c>
      <x:c r="B39" s="65" t="n">
        <x:v>46166</x:v>
      </x:c>
      <x:c r="C39" s="46" t="str">
        <x:v>W-018</x:v>
      </x:c>
      <x:c r="D39" s="46" t="str">
        <x:v>MAT-013</x:v>
      </x:c>
      <x:c r="E39" s="46" t="str">
        <x:v>Flooring</x:v>
      </x:c>
      <x:c r="F39" s="46" t="str">
        <x:v>Винил шал</x:v>
      </x:c>
      <x:c r="G39" s="66" t="n">
        <x:v>99.23</x:v>
      </x:c>
      <x:c r="H39" s="46" t="str">
        <x:v>m2</x:v>
      </x:c>
      <x:c r="I39" s="68" t="n">
        <x:v>83100</x:v>
      </x:c>
      <x:c r="J39" s="68" t="n">
        <x:v>8246010</x:v>
      </x:c>
      <x:c r="K39" s="25" t="str">
        <x:v>SUP-001</x:v>
      </x:c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K1"/>
  </x:mergeCells>
  <x:dataValidations count="1">
    <x:dataValidation type="list" sqref="E4:E39">
      <x:formula1>Lists!$E$2:$E$10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42d868848b4d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4" hidden="0" customWidth="1"/>
    <x:col min="5" max="5" width="34" hidden="0" customWidth="1"/>
    <x:col min="6" max="6" width="12" hidden="0" customWidth="1"/>
    <x:col min="7" max="7" width="10" hidden="0" customWidth="1"/>
    <x:col min="8" max="8" width="18" hidden="0" customWidth="1"/>
    <x:col min="9" max="9" width="18" hidden="0" customWidth="1"/>
    <x:col min="10" max="10" width="15" hidden="0" customWidth="1"/>
  </x:cols>
  <x:sheetData>
    <x:row r="1">
      <x:c r="A1" s="5" t="str">
        <x:v>ТӨСЛИЙН ЗАРДЛЫН БҮРТГЭЛ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3"/>
    </x:row>
    <x:row r="3">
      <x:c r="A3" s="14" t="str">
        <x:v>Cost_ID</x:v>
      </x:c>
      <x:c r="B3" s="14" t="str">
        <x:v>Date</x:v>
      </x:c>
      <x:c r="C3" s="14" t="str">
        <x:v>Work_Code</x:v>
      </x:c>
      <x:c r="D3" s="14" t="str">
        <x:v>Category</x:v>
      </x:c>
      <x:c r="E3" s="14" t="str">
        <x:v>Description</x:v>
      </x:c>
      <x:c r="F3" s="14" t="str">
        <x:v>Qty</x:v>
      </x:c>
      <x:c r="G3" s="14" t="str">
        <x:v>Unit</x:v>
      </x:c>
      <x:c r="H3" s="14" t="str">
        <x:v>Unit_Price_Adjusted</x:v>
      </x:c>
      <x:c r="I3" s="14" t="str">
        <x:v>Total_Cost</x:v>
      </x:c>
      <x:c r="J3" s="14" t="str">
        <x:v>Reference_Code</x:v>
      </x:c>
    </x:row>
    <x:row r="4">
      <x:c r="A4" s="151" t="str">
        <x:v>CS-00037</x:v>
      </x:c>
      <x:c r="B4" s="59" t="n">
        <x:v>46134</x:v>
      </x:c>
      <x:c r="C4" s="44" t="str">
        <x:v>W-005</x:v>
      </x:c>
      <x:c r="D4" s="44" t="str">
        <x:v>Labor</x:v>
      </x:c>
      <x:c r="E4" s="44" t="str">
        <x:v>HELPER ажилласан цаг</x:v>
      </x:c>
      <x:c r="F4" s="60" t="n">
        <x:v>9.5</x:v>
      </x:c>
      <x:c r="G4" s="44" t="str">
        <x:v>hour</x:v>
      </x:c>
      <x:c r="H4" s="62" t="n">
        <x:v>11760</x:v>
      </x:c>
      <x:c r="I4" s="62" t="n">
        <x:v>111720</x:v>
      </x:c>
      <x:c r="J4" s="21" t="str">
        <x:v>EMP-012</x:v>
      </x:c>
    </x:row>
    <x:row r="5">
      <x:c r="A5" s="152" t="str">
        <x:v>CS-00038</x:v>
      </x:c>
      <x:c r="B5" s="49" t="n">
        <x:v>46135</x:v>
      </x:c>
      <x:c r="C5" s="45" t="str">
        <x:v>W-015</x:v>
      </x:c>
      <x:c r="D5" s="45" t="str">
        <x:v>Labor</x:v>
      </x:c>
      <x:c r="E5" s="45" t="str">
        <x:v>PAINTER ажилласан цаг</x:v>
      </x:c>
      <x:c r="F5" s="51" t="n">
        <x:v>9</x:v>
      </x:c>
      <x:c r="G5" s="45" t="str">
        <x:v>hour</x:v>
      </x:c>
      <x:c r="H5" s="57" t="n">
        <x:v>16240</x:v>
      </x:c>
      <x:c r="I5" s="57" t="n">
        <x:v>146160</x:v>
      </x:c>
      <x:c r="J5" s="23" t="str">
        <x:v>EMP-009</x:v>
      </x:c>
    </x:row>
    <x:row r="6">
      <x:c r="A6" s="152" t="str">
        <x:v>CS-00039</x:v>
      </x:c>
      <x:c r="B6" s="49" t="n">
        <x:v>46136</x:v>
      </x:c>
      <x:c r="C6" s="45" t="str">
        <x:v>W-020</x:v>
      </x:c>
      <x:c r="D6" s="45" t="str">
        <x:v>Labor</x:v>
      </x:c>
      <x:c r="E6" s="45" t="str">
        <x:v>SAFETY ажилласан цаг</x:v>
      </x:c>
      <x:c r="F6" s="51" t="n">
        <x:v>9</x:v>
      </x:c>
      <x:c r="G6" s="45" t="str">
        <x:v>hour</x:v>
      </x:c>
      <x:c r="H6" s="57" t="n">
        <x:v>15680</x:v>
      </x:c>
      <x:c r="I6" s="57" t="n">
        <x:v>141120</x:v>
      </x:c>
      <x:c r="J6" s="23" t="str">
        <x:v>EMP-014</x:v>
      </x:c>
    </x:row>
    <x:row r="7">
      <x:c r="A7" s="152" t="str">
        <x:v>CS-00065</x:v>
      </x:c>
      <x:c r="B7" s="49" t="n">
        <x:v>46136</x:v>
      </x:c>
      <x:c r="C7" s="45" t="str">
        <x:v>W-002</x:v>
      </x:c>
      <x:c r="D7" s="45" t="str">
        <x:v>Equipment</x:v>
      </x:c>
      <x:c r="E7" s="45" t="str">
        <x:v>Нураалтын жижиг тоног төхөөрөмж</x:v>
      </x:c>
      <x:c r="F7" s="51" t="n">
        <x:v>3</x:v>
      </x:c>
      <x:c r="G7" s="45" t="str">
        <x:v>day</x:v>
      </x:c>
      <x:c r="H7" s="57" t="n">
        <x:v>470400</x:v>
      </x:c>
      <x:c r="I7" s="57" t="n">
        <x:v>1411200</x:v>
      </x:c>
      <x:c r="J7" s="23" t="str">
        <x:v>REF-0065</x:v>
      </x:c>
    </x:row>
    <x:row r="8">
      <x:c r="A8" s="152" t="str">
        <x:v>CS-00040</x:v>
      </x:c>
      <x:c r="B8" s="49" t="n">
        <x:v>46137</x:v>
      </x:c>
      <x:c r="C8" s="45" t="str">
        <x:v>W-004</x:v>
      </x:c>
      <x:c r="D8" s="45" t="str">
        <x:v>Labor</x:v>
      </x:c>
      <x:c r="E8" s="45" t="str">
        <x:v>ENGINEER ажилласан цаг</x:v>
      </x:c>
      <x:c r="F8" s="51" t="n">
        <x:v>9</x:v>
      </x:c>
      <x:c r="G8" s="45" t="str">
        <x:v>hour</x:v>
      </x:c>
      <x:c r="H8" s="57" t="n">
        <x:v>23520</x:v>
      </x:c>
      <x:c r="I8" s="57" t="n">
        <x:v>211680</x:v>
      </x:c>
      <x:c r="J8" s="23" t="str">
        <x:v>EMP-002</x:v>
      </x:c>
    </x:row>
    <x:row r="9">
      <x:c r="A9" s="152" t="str">
        <x:v>CS-00066</x:v>
      </x:c>
      <x:c r="B9" s="49" t="n">
        <x:v>46137</x:v>
      </x:c>
      <x:c r="C9" s="45" t="str">
        <x:v>W-003</x:v>
      </x:c>
      <x:c r="D9" s="45" t="str">
        <x:v>Transport</x:v>
      </x:c>
      <x:c r="E9" s="45" t="str">
        <x:v>Хог тээврийн машин</x:v>
      </x:c>
      <x:c r="F9" s="51" t="n">
        <x:v>8</x:v>
      </x:c>
      <x:c r="G9" s="45" t="str">
        <x:v>trip</x:v>
      </x:c>
      <x:c r="H9" s="57" t="n">
        <x:v>207200</x:v>
      </x:c>
      <x:c r="I9" s="57" t="n">
        <x:v>1657600</x:v>
      </x:c>
      <x:c r="J9" s="23" t="str">
        <x:v>REF-0066</x:v>
      </x:c>
    </x:row>
    <x:row r="10">
      <x:c r="A10" s="152" t="str">
        <x:v>CS-00041</x:v>
      </x:c>
      <x:c r="B10" s="49" t="n">
        <x:v>46138</x:v>
      </x:c>
      <x:c r="C10" s="45" t="str">
        <x:v>W-004</x:v>
      </x:c>
      <x:c r="D10" s="45" t="str">
        <x:v>Labor</x:v>
      </x:c>
      <x:c r="E10" s="45" t="str">
        <x:v>ELECTRICIAN ажилласан цаг</x:v>
      </x:c>
      <x:c r="F10" s="51" t="n">
        <x:v>6</x:v>
      </x:c>
      <x:c r="G10" s="45" t="str">
        <x:v>hour</x:v>
      </x:c>
      <x:c r="H10" s="57" t="n">
        <x:v>19600</x:v>
      </x:c>
      <x:c r="I10" s="57" t="n">
        <x:v>117600</x:v>
      </x:c>
      <x:c r="J10" s="23" t="str">
        <x:v>EMP-007</x:v>
      </x:c>
    </x:row>
    <x:row r="11">
      <x:c r="A11" s="152" t="str">
        <x:v>CS-00042</x:v>
      </x:c>
      <x:c r="B11" s="49" t="n">
        <x:v>46139</x:v>
      </x:c>
      <x:c r="C11" s="45" t="str">
        <x:v>W-008</x:v>
      </x:c>
      <x:c r="D11" s="45" t="str">
        <x:v>Labor</x:v>
      </x:c>
      <x:c r="E11" s="45" t="str">
        <x:v>HELPER ажилласан цаг</x:v>
      </x:c>
      <x:c r="F11" s="51" t="n">
        <x:v>8</x:v>
      </x:c>
      <x:c r="G11" s="45" t="str">
        <x:v>hour</x:v>
      </x:c>
      <x:c r="H11" s="57" t="n">
        <x:v>11760</x:v>
      </x:c>
      <x:c r="I11" s="57" t="n">
        <x:v>94080</x:v>
      </x:c>
      <x:c r="J11" s="23" t="str">
        <x:v>EMP-013</x:v>
      </x:c>
    </x:row>
    <x:row r="12">
      <x:c r="A12" s="152" t="str">
        <x:v>CS-00043</x:v>
      </x:c>
      <x:c r="B12" s="49" t="n">
        <x:v>46140</x:v>
      </x:c>
      <x:c r="C12" s="45" t="str">
        <x:v>W-007</x:v>
      </x:c>
      <x:c r="D12" s="45" t="str">
        <x:v>Labor</x:v>
      </x:c>
      <x:c r="E12" s="45" t="str">
        <x:v>ENGINEER ажилласан цаг</x:v>
      </x:c>
      <x:c r="F12" s="51" t="n">
        <x:v>10</x:v>
      </x:c>
      <x:c r="G12" s="45" t="str">
        <x:v>hour</x:v>
      </x:c>
      <x:c r="H12" s="57" t="n">
        <x:v>23520</x:v>
      </x:c>
      <x:c r="I12" s="57" t="n">
        <x:v>235200</x:v>
      </x:c>
      <x:c r="J12" s="23" t="str">
        <x:v>EMP-002</x:v>
      </x:c>
    </x:row>
    <x:row r="13">
      <x:c r="A13" s="152" t="str">
        <x:v>CS-00044</x:v>
      </x:c>
      <x:c r="B13" s="49" t="n">
        <x:v>46141</x:v>
      </x:c>
      <x:c r="C13" s="45" t="str">
        <x:v>W-005</x:v>
      </x:c>
      <x:c r="D13" s="45" t="str">
        <x:v>Labor</x:v>
      </x:c>
      <x:c r="E13" s="45" t="str">
        <x:v>CARPENTER ажилласан цаг</x:v>
      </x:c>
      <x:c r="F13" s="51" t="n">
        <x:v>8</x:v>
      </x:c>
      <x:c r="G13" s="45" t="str">
        <x:v>hour</x:v>
      </x:c>
      <x:c r="H13" s="57" t="n">
        <x:v>16800</x:v>
      </x:c>
      <x:c r="I13" s="57" t="n">
        <x:v>134400</x:v>
      </x:c>
      <x:c r="J13" s="23" t="str">
        <x:v>EMP-004</x:v>
      </x:c>
    </x:row>
    <x:row r="14">
      <x:c r="A14" s="152" t="str">
        <x:v>CS-00001</x:v>
      </x:c>
      <x:c r="B14" s="49" t="n">
        <x:v>46142</x:v>
      </x:c>
      <x:c r="C14" s="45" t="str">
        <x:v>W-005</x:v>
      </x:c>
      <x:c r="D14" s="45" t="str">
        <x:v>Material</x:v>
      </x:c>
      <x:c r="E14" s="45" t="str">
        <x:v>Металл профиль</x:v>
      </x:c>
      <x:c r="F14" s="51" t="n">
        <x:v>38.41</x:v>
      </x:c>
      <x:c r="G14" s="45" t="str">
        <x:v>m</x:v>
      </x:c>
      <x:c r="H14" s="57" t="n">
        <x:v>8510</x:v>
      </x:c>
      <x:c r="I14" s="57" t="n">
        <x:v>326870</x:v>
      </x:c>
      <x:c r="J14" s="23" t="str">
        <x:v>MT-0001</x:v>
      </x:c>
    </x:row>
    <x:row r="15">
      <x:c r="A15" s="152" t="str">
        <x:v>CS-00002</x:v>
      </x:c>
      <x:c r="B15" s="49" t="n">
        <x:v>46142</x:v>
      </x:c>
      <x:c r="C15" s="45" t="str">
        <x:v>W-005</x:v>
      </x:c>
      <x:c r="D15" s="45" t="str">
        <x:v>Material</x:v>
      </x:c>
      <x:c r="E15" s="45" t="str">
        <x:v>Шруп, бэхэлгээ</x:v>
      </x:c>
      <x:c r="F15" s="51" t="n">
        <x:v>138.11</x:v>
      </x:c>
      <x:c r="G15" s="45" t="str">
        <x:v>box</x:v>
      </x:c>
      <x:c r="H15" s="57" t="n">
        <x:v>19600</x:v>
      </x:c>
      <x:c r="I15" s="57" t="n">
        <x:v>2706960</x:v>
      </x:c>
      <x:c r="J15" s="23" t="str">
        <x:v>MT-0002</x:v>
      </x:c>
    </x:row>
    <x:row r="16">
      <x:c r="A16" s="152" t="str">
        <x:v>CS-00003</x:v>
      </x:c>
      <x:c r="B16" s="49" t="n">
        <x:v>46142</x:v>
      </x:c>
      <x:c r="C16" s="45" t="str">
        <x:v>W-006</x:v>
      </x:c>
      <x:c r="D16" s="45" t="str">
        <x:v>Material</x:v>
      </x:c>
      <x:c r="E16" s="45" t="str">
        <x:v>3×2.5 кабель</x:v>
      </x:c>
      <x:c r="F16" s="51" t="n">
        <x:v>84.27</x:v>
      </x:c>
      <x:c r="G16" s="45" t="str">
        <x:v>m</x:v>
      </x:c>
      <x:c r="H16" s="57" t="n">
        <x:v>7170</x:v>
      </x:c>
      <x:c r="I16" s="57" t="n">
        <x:v>604220</x:v>
      </x:c>
      <x:c r="J16" s="23" t="str">
        <x:v>MT-0003</x:v>
      </x:c>
    </x:row>
    <x:row r="17">
      <x:c r="A17" s="152" t="str">
        <x:v>CS-00005</x:v>
      </x:c>
      <x:c r="B17" s="49" t="n">
        <x:v>46142</x:v>
      </x:c>
      <x:c r="C17" s="45" t="str">
        <x:v>W-006</x:v>
      </x:c>
      <x:c r="D17" s="45" t="str">
        <x:v>Material</x:v>
      </x:c>
      <x:c r="E17" s="45" t="str">
        <x:v>3×1.5 кабель</x:v>
      </x:c>
      <x:c r="F17" s="51" t="n">
        <x:v>68.52</x:v>
      </x:c>
      <x:c r="G17" s="45" t="str">
        <x:v>m</x:v>
      </x:c>
      <x:c r="H17" s="57" t="n">
        <x:v>5710</x:v>
      </x:c>
      <x:c r="I17" s="57" t="n">
        <x:v>391250</x:v>
      </x:c>
      <x:c r="J17" s="23" t="str">
        <x:v>MT-0005</x:v>
      </x:c>
    </x:row>
    <x:row r="18">
      <x:c r="A18" s="152" t="str">
        <x:v>CS-00045</x:v>
      </x:c>
      <x:c r="B18" s="49" t="n">
        <x:v>46142</x:v>
      </x:c>
      <x:c r="C18" s="45" t="str">
        <x:v>W-005</x:v>
      </x:c>
      <x:c r="D18" s="45" t="str">
        <x:v>Labor</x:v>
      </x:c>
      <x:c r="E18" s="45" t="str">
        <x:v>CARPENTER ажилласан цаг</x:v>
      </x:c>
      <x:c r="F18" s="51" t="n">
        <x:v>9</x:v>
      </x:c>
      <x:c r="G18" s="45" t="str">
        <x:v>hour</x:v>
      </x:c>
      <x:c r="H18" s="57" t="n">
        <x:v>16800</x:v>
      </x:c>
      <x:c r="I18" s="57" t="n">
        <x:v>151200</x:v>
      </x:c>
      <x:c r="J18" s="23" t="str">
        <x:v>EMP-004</x:v>
      </x:c>
    </x:row>
    <x:row r="19">
      <x:c r="A19" s="152" t="str">
        <x:v>CS-00067</x:v>
      </x:c>
      <x:c r="B19" s="49" t="n">
        <x:v>46142</x:v>
      </x:c>
      <x:c r="C19" s="45" t="str">
        <x:v>W-005</x:v>
      </x:c>
      <x:c r="D19" s="45" t="str">
        <x:v>Equipment</x:v>
      </x:c>
      <x:c r="E19" s="45" t="str">
        <x:v>Зөөврийн өргөгч</x:v>
      </x:c>
      <x:c r="F19" s="51" t="n">
        <x:v>4</x:v>
      </x:c>
      <x:c r="G19" s="45" t="str">
        <x:v>day</x:v>
      </x:c>
      <x:c r="H19" s="57" t="n">
        <x:v>408800</x:v>
      </x:c>
      <x:c r="I19" s="57" t="n">
        <x:v>1635200</x:v>
      </x:c>
      <x:c r="J19" s="23" t="str">
        <x:v>REF-0067</x:v>
      </x:c>
    </x:row>
    <x:row r="20">
      <x:c r="A20" s="152" t="str">
        <x:v>CS-00008</x:v>
      </x:c>
      <x:c r="B20" s="49" t="n">
        <x:v>46143</x:v>
      </x:c>
      <x:c r="C20" s="45" t="str">
        <x:v>W-007</x:v>
      </x:c>
      <x:c r="D20" s="45" t="str">
        <x:v>Material</x:v>
      </x:c>
      <x:c r="E20" s="45" t="str">
        <x:v>PPR хоолой 25мм</x:v>
      </x:c>
      <x:c r="F20" s="51" t="n">
        <x:v>126.2</x:v>
      </x:c>
      <x:c r="G20" s="45" t="str">
        <x:v>m</x:v>
      </x:c>
      <x:c r="H20" s="57" t="n">
        <x:v>20380</x:v>
      </x:c>
      <x:c r="I20" s="57" t="n">
        <x:v>2571960</x:v>
      </x:c>
      <x:c r="J20" s="23" t="str">
        <x:v>MT-0008</x:v>
      </x:c>
    </x:row>
    <x:row r="21">
      <x:c r="A21" s="152" t="str">
        <x:v>CS-00009</x:v>
      </x:c>
      <x:c r="B21" s="49" t="n">
        <x:v>46143</x:v>
      </x:c>
      <x:c r="C21" s="45" t="str">
        <x:v>W-007</x:v>
      </x:c>
      <x:c r="D21" s="45" t="str">
        <x:v>Material</x:v>
      </x:c>
      <x:c r="E21" s="45" t="str">
        <x:v>Холбох хэрэгсэл</x:v>
      </x:c>
      <x:c r="F21" s="51" t="n">
        <x:v>124.22</x:v>
      </x:c>
      <x:c r="G21" s="45" t="str">
        <x:v>set</x:v>
      </x:c>
      <x:c r="H21" s="57" t="n">
        <x:v>15230</x:v>
      </x:c>
      <x:c r="I21" s="57" t="n">
        <x:v>1891870</x:v>
      </x:c>
      <x:c r="J21" s="23" t="str">
        <x:v>MT-0009</x:v>
      </x:c>
    </x:row>
    <x:row r="22">
      <x:c r="A22" s="152" t="str">
        <x:v>CS-00046</x:v>
      </x:c>
      <x:c r="B22" s="49" t="n">
        <x:v>46143</x:v>
      </x:c>
      <x:c r="C22" s="45" t="str">
        <x:v>W-020</x:v>
      </x:c>
      <x:c r="D22" s="45" t="str">
        <x:v>Labor</x:v>
      </x:c>
      <x:c r="E22" s="45" t="str">
        <x:v>SAFETY ажилласан цаг</x:v>
      </x:c>
      <x:c r="F22" s="51" t="n">
        <x:v>10</x:v>
      </x:c>
      <x:c r="G22" s="45" t="str">
        <x:v>hour</x:v>
      </x:c>
      <x:c r="H22" s="57" t="n">
        <x:v>15680</x:v>
      </x:c>
      <x:c r="I22" s="57" t="n">
        <x:v>156800</x:v>
      </x:c>
      <x:c r="J22" s="23" t="str">
        <x:v>EMP-014</x:v>
      </x:c>
    </x:row>
    <x:row r="23">
      <x:c r="A23" s="152" t="str">
        <x:v>CS-00068</x:v>
      </x:c>
      <x:c r="B23" s="49" t="n">
        <x:v>46143</x:v>
      </x:c>
      <x:c r="C23" s="45" t="str">
        <x:v>W-007</x:v>
      </x:c>
      <x:c r="D23" s="45" t="str">
        <x:v>Subcontract</x:v>
      </x:c>
      <x:c r="E23" s="45" t="str">
        <x:v>Шугамын даралт шалгалт</x:v>
      </x:c>
      <x:c r="F23" s="51" t="n">
        <x:v>1</x:v>
      </x:c>
      <x:c r="G23" s="45" t="str">
        <x:v>lot</x:v>
      </x:c>
      <x:c r="H23" s="57" t="n">
        <x:v>1848000</x:v>
      </x:c>
      <x:c r="I23" s="57" t="n">
        <x:v>1848000</x:v>
      </x:c>
      <x:c r="J23" s="23" t="str">
        <x:v>REF-0068</x:v>
      </x:c>
    </x:row>
    <x:row r="24">
      <x:c r="A24" s="152" t="str">
        <x:v>CS-00047</x:v>
      </x:c>
      <x:c r="B24" s="49" t="n">
        <x:v>46144</x:v>
      </x:c>
      <x:c r="C24" s="45" t="str">
        <x:v>W-010</x:v>
      </x:c>
      <x:c r="D24" s="45" t="str">
        <x:v>Labor</x:v>
      </x:c>
      <x:c r="E24" s="45" t="str">
        <x:v>HELPER ажилласан цаг</x:v>
      </x:c>
      <x:c r="F24" s="51" t="n">
        <x:v>9</x:v>
      </x:c>
      <x:c r="G24" s="45" t="str">
        <x:v>hour</x:v>
      </x:c>
      <x:c r="H24" s="57" t="n">
        <x:v>11760</x:v>
      </x:c>
      <x:c r="I24" s="57" t="n">
        <x:v>105840</x:v>
      </x:c>
      <x:c r="J24" s="23" t="str">
        <x:v>EMP-011</x:v>
      </x:c>
    </x:row>
    <x:row r="25">
      <x:c r="A25" s="152" t="str">
        <x:v>CS-00004</x:v>
      </x:c>
      <x:c r="B25" s="49" t="n">
        <x:v>46145</x:v>
      </x:c>
      <x:c r="C25" s="45" t="str">
        <x:v>W-006</x:v>
      </x:c>
      <x:c r="D25" s="45" t="str">
        <x:v>Material</x:v>
      </x:c>
      <x:c r="E25" s="45" t="str">
        <x:v>3×2.5 кабель</x:v>
      </x:c>
      <x:c r="F25" s="51" t="n">
        <x:v>40.97</x:v>
      </x:c>
      <x:c r="G25" s="45" t="str">
        <x:v>m</x:v>
      </x:c>
      <x:c r="H25" s="57" t="n">
        <x:v>7170</x:v>
      </x:c>
      <x:c r="I25" s="57" t="n">
        <x:v>293750</x:v>
      </x:c>
      <x:c r="J25" s="23" t="str">
        <x:v>MT-0004</x:v>
      </x:c>
    </x:row>
    <x:row r="26">
      <x:c r="A26" s="152" t="str">
        <x:v>CS-00006</x:v>
      </x:c>
      <x:c r="B26" s="49" t="n">
        <x:v>46145</x:v>
      </x:c>
      <x:c r="C26" s="45" t="str">
        <x:v>W-006</x:v>
      </x:c>
      <x:c r="D26" s="45" t="str">
        <x:v>Material</x:v>
      </x:c>
      <x:c r="E26" s="45" t="str">
        <x:v>3×1.5 кабель</x:v>
      </x:c>
      <x:c r="F26" s="51" t="n">
        <x:v>113.38</x:v>
      </x:c>
      <x:c r="G26" s="45" t="str">
        <x:v>m</x:v>
      </x:c>
      <x:c r="H26" s="57" t="n">
        <x:v>5710</x:v>
      </x:c>
      <x:c r="I26" s="57" t="n">
        <x:v>647400</x:v>
      </x:c>
      <x:c r="J26" s="23" t="str">
        <x:v>MT-0006</x:v>
      </x:c>
    </x:row>
    <x:row r="27">
      <x:c r="A27" s="152" t="str">
        <x:v>CS-00010</x:v>
      </x:c>
      <x:c r="B27" s="49" t="n">
        <x:v>46146</x:v>
      </x:c>
      <x:c r="C27" s="45" t="str">
        <x:v>W-007</x:v>
      </x:c>
      <x:c r="D27" s="45" t="str">
        <x:v>Material</x:v>
      </x:c>
      <x:c r="E27" s="45" t="str">
        <x:v>Холбох хэрэгсэл</x:v>
      </x:c>
      <x:c r="F27" s="51" t="n">
        <x:v>115.17</x:v>
      </x:c>
      <x:c r="G27" s="45" t="str">
        <x:v>set</x:v>
      </x:c>
      <x:c r="H27" s="57" t="n">
        <x:v>15230</x:v>
      </x:c>
      <x:c r="I27" s="57" t="n">
        <x:v>1754040</x:v>
      </x:c>
      <x:c r="J27" s="23" t="str">
        <x:v>MT-0010</x:v>
      </x:c>
    </x:row>
    <x:row r="28">
      <x:c r="A28" s="152" t="str">
        <x:v>CS-00048</x:v>
      </x:c>
      <x:c r="B28" s="49" t="n">
        <x:v>46146</x:v>
      </x:c>
      <x:c r="C28" s="45" t="str">
        <x:v>W-008</x:v>
      </x:c>
      <x:c r="D28" s="45" t="str">
        <x:v>Labor</x:v>
      </x:c>
      <x:c r="E28" s="45" t="str">
        <x:v>HELPER ажилласан цаг</x:v>
      </x:c>
      <x:c r="F28" s="51" t="n">
        <x:v>8</x:v>
      </x:c>
      <x:c r="G28" s="45" t="str">
        <x:v>hour</x:v>
      </x:c>
      <x:c r="H28" s="57" t="n">
        <x:v>11760</x:v>
      </x:c>
      <x:c r="I28" s="57" t="n">
        <x:v>94080</x:v>
      </x:c>
      <x:c r="J28" s="23" t="str">
        <x:v>EMP-011</x:v>
      </x:c>
    </x:row>
    <x:row r="29">
      <x:c r="A29" s="152" t="str">
        <x:v>CS-00049</x:v>
      </x:c>
      <x:c r="B29" s="49" t="n">
        <x:v>46147</x:v>
      </x:c>
      <x:c r="C29" s="45" t="str">
        <x:v>W-005</x:v>
      </x:c>
      <x:c r="D29" s="45" t="str">
        <x:v>Labor</x:v>
      </x:c>
      <x:c r="E29" s="45" t="str">
        <x:v>CARPENTER ажилласан цаг</x:v>
      </x:c>
      <x:c r="F29" s="51" t="n">
        <x:v>8</x:v>
      </x:c>
      <x:c r="G29" s="45" t="str">
        <x:v>hour</x:v>
      </x:c>
      <x:c r="H29" s="57" t="n">
        <x:v>16800</x:v>
      </x:c>
      <x:c r="I29" s="57" t="n">
        <x:v>134400</x:v>
      </x:c>
      <x:c r="J29" s="23" t="str">
        <x:v>EMP-015</x:v>
      </x:c>
    </x:row>
    <x:row r="30">
      <x:c r="A30" s="152" t="str">
        <x:v>CS-00007</x:v>
      </x:c>
      <x:c r="B30" s="49" t="n">
        <x:v>46148</x:v>
      </x:c>
      <x:c r="C30" s="45" t="str">
        <x:v>W-006</x:v>
      </x:c>
      <x:c r="D30" s="45" t="str">
        <x:v>Material</x:v>
      </x:c>
      <x:c r="E30" s="45" t="str">
        <x:v>3×1.5 кабель</x:v>
      </x:c>
      <x:c r="F30" s="51" t="n">
        <x:v>40.67</x:v>
      </x:c>
      <x:c r="G30" s="45" t="str">
        <x:v>m</x:v>
      </x:c>
      <x:c r="H30" s="57" t="n">
        <x:v>5710</x:v>
      </x:c>
      <x:c r="I30" s="57" t="n">
        <x:v>232230</x:v>
      </x:c>
      <x:c r="J30" s="23" t="str">
        <x:v>MT-0007</x:v>
      </x:c>
    </x:row>
    <x:row r="31">
      <x:c r="A31" s="152" t="str">
        <x:v>CS-00050</x:v>
      </x:c>
      <x:c r="B31" s="49" t="n">
        <x:v>46148</x:v>
      </x:c>
      <x:c r="C31" s="45" t="str">
        <x:v>W-012</x:v>
      </x:c>
      <x:c r="D31" s="45" t="str">
        <x:v>Labor</x:v>
      </x:c>
      <x:c r="E31" s="45" t="str">
        <x:v>HELPER ажилласан цаг</x:v>
      </x:c>
      <x:c r="F31" s="51" t="n">
        <x:v>9.5</x:v>
      </x:c>
      <x:c r="G31" s="45" t="str">
        <x:v>hour</x:v>
      </x:c>
      <x:c r="H31" s="57" t="n">
        <x:v>11760</x:v>
      </x:c>
      <x:c r="I31" s="57" t="n">
        <x:v>111720</x:v>
      </x:c>
      <x:c r="J31" s="23" t="str">
        <x:v>EMP-011</x:v>
      </x:c>
    </x:row>
    <x:row r="32">
      <x:c r="A32" s="152" t="str">
        <x:v>CS-00011</x:v>
      </x:c>
      <x:c r="B32" s="49" t="n">
        <x:v>46149</x:v>
      </x:c>
      <x:c r="C32" s="45" t="str">
        <x:v>W-008</x:v>
      </x:c>
      <x:c r="D32" s="45" t="str">
        <x:v>Material</x:v>
      </x:c>
      <x:c r="E32" s="45" t="str">
        <x:v>Гипсэн хавтан 12.5мм</x:v>
      </x:c>
      <x:c r="F32" s="51" t="n">
        <x:v>50.57</x:v>
      </x:c>
      <x:c r="G32" s="45" t="str">
        <x:v>pcs</x:v>
      </x:c>
      <x:c r="H32" s="57" t="n">
        <x:v>31920</x:v>
      </x:c>
      <x:c r="I32" s="57" t="n">
        <x:v>1614190</x:v>
      </x:c>
      <x:c r="J32" s="23" t="str">
        <x:v>MT-0011</x:v>
      </x:c>
    </x:row>
    <x:row r="33">
      <x:c r="A33" s="152" t="str">
        <x:v>CS-00013</x:v>
      </x:c>
      <x:c r="B33" s="49" t="n">
        <x:v>46149</x:v>
      </x:c>
      <x:c r="C33" s="45" t="str">
        <x:v>W-008</x:v>
      </x:c>
      <x:c r="D33" s="45" t="str">
        <x:v>Material</x:v>
      </x:c>
      <x:c r="E33" s="45" t="str">
        <x:v>Дуу тусгаарлагч хөвөн</x:v>
      </x:c>
      <x:c r="F33" s="51" t="n">
        <x:v>61.74</x:v>
      </x:c>
      <x:c r="G33" s="45" t="str">
        <x:v>m2</x:v>
      </x:c>
      <x:c r="H33" s="57" t="n">
        <x:v>22180</x:v>
      </x:c>
      <x:c r="I33" s="57" t="n">
        <x:v>1369390</x:v>
      </x:c>
      <x:c r="J33" s="23" t="str">
        <x:v>MT-0013</x:v>
      </x:c>
    </x:row>
    <x:row r="34">
      <x:c r="A34" s="152" t="str">
        <x:v>CS-00014</x:v>
      </x:c>
      <x:c r="B34" s="49" t="n">
        <x:v>46149</x:v>
      </x:c>
      <x:c r="C34" s="45" t="str">
        <x:v>W-008</x:v>
      </x:c>
      <x:c r="D34" s="45" t="str">
        <x:v>Material</x:v>
      </x:c>
      <x:c r="E34" s="45" t="str">
        <x:v>Шруп, бэхэлгээ</x:v>
      </x:c>
      <x:c r="F34" s="51" t="n">
        <x:v>101.94</x:v>
      </x:c>
      <x:c r="G34" s="45" t="str">
        <x:v>box</x:v>
      </x:c>
      <x:c r="H34" s="57" t="n">
        <x:v>19600</x:v>
      </x:c>
      <x:c r="I34" s="57" t="n">
        <x:v>1998020</x:v>
      </x:c>
      <x:c r="J34" s="23" t="str">
        <x:v>MT-0014</x:v>
      </x:c>
    </x:row>
    <x:row r="35">
      <x:c r="A35" s="152" t="str">
        <x:v>CS-00051</x:v>
      </x:c>
      <x:c r="B35" s="49" t="n">
        <x:v>46149</x:v>
      </x:c>
      <x:c r="C35" s="45" t="str">
        <x:v>W-007</x:v>
      </x:c>
      <x:c r="D35" s="45" t="str">
        <x:v>Labor</x:v>
      </x:c>
      <x:c r="E35" s="45" t="str">
        <x:v>PLUMBER ажилласан цаг</x:v>
      </x:c>
      <x:c r="F35" s="51" t="n">
        <x:v>9</x:v>
      </x:c>
      <x:c r="G35" s="45" t="str">
        <x:v>hour</x:v>
      </x:c>
      <x:c r="H35" s="57" t="n">
        <x:v>19040</x:v>
      </x:c>
      <x:c r="I35" s="57" t="n">
        <x:v>171360</x:v>
      </x:c>
      <x:c r="J35" s="23" t="str">
        <x:v>EMP-008</x:v>
      </x:c>
    </x:row>
    <x:row r="36">
      <x:c r="A36" s="152" t="str">
        <x:v>CS-00052</x:v>
      </x:c>
      <x:c r="B36" s="49" t="n">
        <x:v>46150</x:v>
      </x:c>
      <x:c r="C36" s="45" t="str">
        <x:v>W-005</x:v>
      </x:c>
      <x:c r="D36" s="45" t="str">
        <x:v>Labor</x:v>
      </x:c>
      <x:c r="E36" s="45" t="str">
        <x:v>SITE-MGR ажилласан цаг</x:v>
      </x:c>
      <x:c r="F36" s="51" t="n">
        <x:v>9.5</x:v>
      </x:c>
      <x:c r="G36" s="45" t="str">
        <x:v>hour</x:v>
      </x:c>
      <x:c r="H36" s="57" t="n">
        <x:v>26880</x:v>
      </x:c>
      <x:c r="I36" s="57" t="n">
        <x:v>255360</x:v>
      </x:c>
      <x:c r="J36" s="23" t="str">
        <x:v>EMP-001</x:v>
      </x:c>
    </x:row>
    <x:row r="37">
      <x:c r="A37" s="152" t="str">
        <x:v>CS-00016</x:v>
      </x:c>
      <x:c r="B37" s="49" t="n">
        <x:v>46151</x:v>
      </x:c>
      <x:c r="C37" s="45" t="str">
        <x:v>W-009</x:v>
      </x:c>
      <x:c r="D37" s="45" t="str">
        <x:v>Material</x:v>
      </x:c>
      <x:c r="E37" s="45" t="str">
        <x:v>Металл профиль</x:v>
      </x:c>
      <x:c r="F37" s="51" t="n">
        <x:v>24.04</x:v>
      </x:c>
      <x:c r="G37" s="45" t="str">
        <x:v>m</x:v>
      </x:c>
      <x:c r="H37" s="57" t="n">
        <x:v>8510</x:v>
      </x:c>
      <x:c r="I37" s="57" t="n">
        <x:v>204580</x:v>
      </x:c>
      <x:c r="J37" s="23" t="str">
        <x:v>MT-0016</x:v>
      </x:c>
    </x:row>
    <x:row r="38">
      <x:c r="A38" s="152" t="str">
        <x:v>CS-00019</x:v>
      </x:c>
      <x:c r="B38" s="49" t="n">
        <x:v>46151</x:v>
      </x:c>
      <x:c r="C38" s="45" t="str">
        <x:v>W-009</x:v>
      </x:c>
      <x:c r="D38" s="45" t="str">
        <x:v>Material</x:v>
      </x:c>
      <x:c r="E38" s="45" t="str">
        <x:v>Шруп, бэхэлгээ</x:v>
      </x:c>
      <x:c r="F38" s="51" t="n">
        <x:v>69.14</x:v>
      </x:c>
      <x:c r="G38" s="45" t="str">
        <x:v>box</x:v>
      </x:c>
      <x:c r="H38" s="57" t="n">
        <x:v>19600</x:v>
      </x:c>
      <x:c r="I38" s="57" t="n">
        <x:v>1355140</x:v>
      </x:c>
      <x:c r="J38" s="23" t="str">
        <x:v>MT-0019</x:v>
      </x:c>
    </x:row>
    <x:row r="39">
      <x:c r="A39" s="152" t="str">
        <x:v>CS-00053</x:v>
      </x:c>
      <x:c r="B39" s="49" t="n">
        <x:v>46151</x:v>
      </x:c>
      <x:c r="C39" s="45" t="str">
        <x:v>W-016</x:v>
      </x:c>
      <x:c r="D39" s="45" t="str">
        <x:v>Labor</x:v>
      </x:c>
      <x:c r="E39" s="45" t="str">
        <x:v>ELECTRICIAN ажилласан цаг</x:v>
      </x:c>
      <x:c r="F39" s="51" t="n">
        <x:v>9.5</x:v>
      </x:c>
      <x:c r="G39" s="45" t="str">
        <x:v>hour</x:v>
      </x:c>
      <x:c r="H39" s="57" t="n">
        <x:v>19600</x:v>
      </x:c>
      <x:c r="I39" s="57" t="n">
        <x:v>186200</x:v>
      </x:c>
      <x:c r="J39" s="23" t="str">
        <x:v>EMP-007</x:v>
      </x:c>
    </x:row>
    <x:row r="40">
      <x:c r="A40" s="152" t="str">
        <x:v>CS-00069</x:v>
      </x:c>
      <x:c r="B40" s="49" t="n">
        <x:v>46151</x:v>
      </x:c>
      <x:c r="C40" s="45" t="str">
        <x:v>W-009</x:v>
      </x:c>
      <x:c r="D40" s="45" t="str">
        <x:v>Equipment</x:v>
      </x:c>
      <x:c r="E40" s="45" t="str">
        <x:v>Таазны өргөгч</x:v>
      </x:c>
      <x:c r="F40" s="51" t="n">
        <x:v>5</x:v>
      </x:c>
      <x:c r="G40" s="45" t="str">
        <x:v>day</x:v>
      </x:c>
      <x:c r="H40" s="57" t="n">
        <x:v>313600</x:v>
      </x:c>
      <x:c r="I40" s="57" t="n">
        <x:v>1568000</x:v>
      </x:c>
      <x:c r="J40" s="23" t="str">
        <x:v>REF-0069</x:v>
      </x:c>
    </x:row>
    <x:row r="41">
      <x:c r="A41" s="152" t="str">
        <x:v>CS-00012</x:v>
      </x:c>
      <x:c r="B41" s="49" t="n">
        <x:v>46152</x:v>
      </x:c>
      <x:c r="C41" s="45" t="str">
        <x:v>W-008</x:v>
      </x:c>
      <x:c r="D41" s="45" t="str">
        <x:v>Material</x:v>
      </x:c>
      <x:c r="E41" s="45" t="str">
        <x:v>Гипсэн хавтан 12.5мм</x:v>
      </x:c>
      <x:c r="F41" s="51" t="n">
        <x:v>33.78</x:v>
      </x:c>
      <x:c r="G41" s="45" t="str">
        <x:v>pcs</x:v>
      </x:c>
      <x:c r="H41" s="57" t="n">
        <x:v>31920</x:v>
      </x:c>
      <x:c r="I41" s="57" t="n">
        <x:v>1078260</x:v>
      </x:c>
      <x:c r="J41" s="23" t="str">
        <x:v>MT-0012</x:v>
      </x:c>
    </x:row>
    <x:row r="42">
      <x:c r="A42" s="152" t="str">
        <x:v>CS-00015</x:v>
      </x:c>
      <x:c r="B42" s="49" t="n">
        <x:v>46152</x:v>
      </x:c>
      <x:c r="C42" s="45" t="str">
        <x:v>W-008</x:v>
      </x:c>
      <x:c r="D42" s="45" t="str">
        <x:v>Material</x:v>
      </x:c>
      <x:c r="E42" s="45" t="str">
        <x:v>Шруп, бэхэлгээ</x:v>
      </x:c>
      <x:c r="F42" s="51" t="n">
        <x:v>22.49</x:v>
      </x:c>
      <x:c r="G42" s="45" t="str">
        <x:v>box</x:v>
      </x:c>
      <x:c r="H42" s="57" t="n">
        <x:v>19600</x:v>
      </x:c>
      <x:c r="I42" s="57" t="n">
        <x:v>440800</x:v>
      </x:c>
      <x:c r="J42" s="23" t="str">
        <x:v>MT-0015</x:v>
      </x:c>
    </x:row>
    <x:row r="43">
      <x:c r="A43" s="152" t="str">
        <x:v>CS-00054</x:v>
      </x:c>
      <x:c r="B43" s="49" t="n">
        <x:v>46153</x:v>
      </x:c>
      <x:c r="C43" s="45" t="str">
        <x:v>W-017</x:v>
      </x:c>
      <x:c r="D43" s="45" t="str">
        <x:v>Labor</x:v>
      </x:c>
      <x:c r="E43" s="45" t="str">
        <x:v>ENGINEER ажилласан цаг</x:v>
      </x:c>
      <x:c r="F43" s="51" t="n">
        <x:v>8</x:v>
      </x:c>
      <x:c r="G43" s="45" t="str">
        <x:v>hour</x:v>
      </x:c>
      <x:c r="H43" s="57" t="n">
        <x:v>23520</x:v>
      </x:c>
      <x:c r="I43" s="57" t="n">
        <x:v>188160</x:v>
      </x:c>
      <x:c r="J43" s="23" t="str">
        <x:v>EMP-002</x:v>
      </x:c>
    </x:row>
    <x:row r="44">
      <x:c r="A44" s="152" t="str">
        <x:v>CS-00017</x:v>
      </x:c>
      <x:c r="B44" s="49" t="n">
        <x:v>46154</x:v>
      </x:c>
      <x:c r="C44" s="45" t="str">
        <x:v>W-009</x:v>
      </x:c>
      <x:c r="D44" s="45" t="str">
        <x:v>Material</x:v>
      </x:c>
      <x:c r="E44" s="45" t="str">
        <x:v>Металл профиль</x:v>
      </x:c>
      <x:c r="F44" s="51" t="n">
        <x:v>64.73</x:v>
      </x:c>
      <x:c r="G44" s="45" t="str">
        <x:v>m</x:v>
      </x:c>
      <x:c r="H44" s="57" t="n">
        <x:v>8510</x:v>
      </x:c>
      <x:c r="I44" s="57" t="n">
        <x:v>550850</x:v>
      </x:c>
      <x:c r="J44" s="23" t="str">
        <x:v>MT-0017</x:v>
      </x:c>
    </x:row>
    <x:row r="45">
      <x:c r="A45" s="152" t="str">
        <x:v>CS-00020</x:v>
      </x:c>
      <x:c r="B45" s="49" t="n">
        <x:v>46154</x:v>
      </x:c>
      <x:c r="C45" s="45" t="str">
        <x:v>W-009</x:v>
      </x:c>
      <x:c r="D45" s="45" t="str">
        <x:v>Material</x:v>
      </x:c>
      <x:c r="E45" s="45" t="str">
        <x:v>Шруп, бэхэлгээ</x:v>
      </x:c>
      <x:c r="F45" s="51" t="n">
        <x:v>97.07</x:v>
      </x:c>
      <x:c r="G45" s="45" t="str">
        <x:v>box</x:v>
      </x:c>
      <x:c r="H45" s="57" t="n">
        <x:v>19600</x:v>
      </x:c>
      <x:c r="I45" s="57" t="n">
        <x:v>1902570</x:v>
      </x:c>
      <x:c r="J45" s="23" t="str">
        <x:v>MT-0020</x:v>
      </x:c>
    </x:row>
    <x:row r="46">
      <x:c r="A46" s="152" t="str">
        <x:v>CS-00055</x:v>
      </x:c>
      <x:c r="B46" s="49" t="n">
        <x:v>46154</x:v>
      </x:c>
      <x:c r="C46" s="45" t="str">
        <x:v>W-006</x:v>
      </x:c>
      <x:c r="D46" s="45" t="str">
        <x:v>Labor</x:v>
      </x:c>
      <x:c r="E46" s="45" t="str">
        <x:v>ENGINEER ажилласан цаг</x:v>
      </x:c>
      <x:c r="F46" s="51" t="n">
        <x:v>8</x:v>
      </x:c>
      <x:c r="G46" s="45" t="str">
        <x:v>hour</x:v>
      </x:c>
      <x:c r="H46" s="57" t="n">
        <x:v>23520</x:v>
      </x:c>
      <x:c r="I46" s="57" t="n">
        <x:v>188160</x:v>
      </x:c>
      <x:c r="J46" s="23" t="str">
        <x:v>EMP-002</x:v>
      </x:c>
    </x:row>
    <x:row r="47">
      <x:c r="A47" s="152" t="str">
        <x:v>CS-00022</x:v>
      </x:c>
      <x:c r="B47" s="49" t="n">
        <x:v>46155</x:v>
      </x:c>
      <x:c r="C47" s="45" t="str">
        <x:v>W-011</x:v>
      </x:c>
      <x:c r="D47" s="45" t="str">
        <x:v>Material</x:v>
      </x:c>
      <x:c r="E47" s="45" t="str">
        <x:v>Шалны плитаны цавуу</x:v>
      </x:c>
      <x:c r="F47" s="51" t="n">
        <x:v>52.97</x:v>
      </x:c>
      <x:c r="G47" s="45" t="str">
        <x:v>bag</x:v>
      </x:c>
      <x:c r="H47" s="57" t="n">
        <x:v>43340</x:v>
      </x:c>
      <x:c r="I47" s="57" t="n">
        <x:v>2295720</x:v>
      </x:c>
      <x:c r="J47" s="23" t="str">
        <x:v>MT-0022</x:v>
      </x:c>
    </x:row>
    <x:row r="48">
      <x:c r="A48" s="152" t="str">
        <x:v>CS-00056</x:v>
      </x:c>
      <x:c r="B48" s="49" t="n">
        <x:v>46155</x:v>
      </x:c>
      <x:c r="C48" s="45" t="str">
        <x:v>W-009</x:v>
      </x:c>
      <x:c r="D48" s="45" t="str">
        <x:v>Labor</x:v>
      </x:c>
      <x:c r="E48" s="45" t="str">
        <x:v>HELPER ажилласан цаг</x:v>
      </x:c>
      <x:c r="F48" s="51" t="n">
        <x:v>9</x:v>
      </x:c>
      <x:c r="G48" s="45" t="str">
        <x:v>hour</x:v>
      </x:c>
      <x:c r="H48" s="57" t="n">
        <x:v>11760</x:v>
      </x:c>
      <x:c r="I48" s="57" t="n">
        <x:v>105840</x:v>
      </x:c>
      <x:c r="J48" s="23" t="str">
        <x:v>EMP-012</x:v>
      </x:c>
    </x:row>
    <x:row r="49">
      <x:c r="A49" s="152" t="str">
        <x:v>CS-00070</x:v>
      </x:c>
      <x:c r="B49" s="49" t="n">
        <x:v>46155</x:v>
      </x:c>
      <x:c r="C49" s="45" t="str">
        <x:v>W-011</x:v>
      </x:c>
      <x:c r="D49" s="45" t="str">
        <x:v>Equipment</x:v>
      </x:c>
      <x:c r="E49" s="45" t="str">
        <x:v>Шал өнгөлөгч машин</x:v>
      </x:c>
      <x:c r="F49" s="51" t="n">
        <x:v>3</x:v>
      </x:c>
      <x:c r="G49" s="45" t="str">
        <x:v>day</x:v>
      </x:c>
      <x:c r="H49" s="57" t="n">
        <x:v>369600</x:v>
      </x:c>
      <x:c r="I49" s="57" t="n">
        <x:v>1108800</x:v>
      </x:c>
      <x:c r="J49" s="23" t="str">
        <x:v>REF-0070</x:v>
      </x:c>
    </x:row>
    <x:row r="50">
      <x:c r="A50" s="152" t="str">
        <x:v>CS-00057</x:v>
      </x:c>
      <x:c r="B50" s="49" t="n">
        <x:v>46156</x:v>
      </x:c>
      <x:c r="C50" s="45" t="str">
        <x:v>W-011</x:v>
      </x:c>
      <x:c r="D50" s="45" t="str">
        <x:v>Labor</x:v>
      </x:c>
      <x:c r="E50" s="45" t="str">
        <x:v>TILER ажилласан цаг</x:v>
      </x:c>
      <x:c r="F50" s="51" t="n">
        <x:v>9</x:v>
      </x:c>
      <x:c r="G50" s="45" t="str">
        <x:v>hour</x:v>
      </x:c>
      <x:c r="H50" s="57" t="n">
        <x:v>17360</x:v>
      </x:c>
      <x:c r="I50" s="57" t="n">
        <x:v>156240</x:v>
      </x:c>
      <x:c r="J50" s="23" t="str">
        <x:v>EMP-010</x:v>
      </x:c>
    </x:row>
    <x:row r="51">
      <x:c r="A51" s="152" t="str">
        <x:v>CS-00018</x:v>
      </x:c>
      <x:c r="B51" s="49" t="n">
        <x:v>46157</x:v>
      </x:c>
      <x:c r="C51" s="45" t="str">
        <x:v>W-009</x:v>
      </x:c>
      <x:c r="D51" s="45" t="str">
        <x:v>Material</x:v>
      </x:c>
      <x:c r="E51" s="45" t="str">
        <x:v>Металл профиль</x:v>
      </x:c>
      <x:c r="F51" s="51" t="n">
        <x:v>141.61</x:v>
      </x:c>
      <x:c r="G51" s="45" t="str">
        <x:v>m</x:v>
      </x:c>
      <x:c r="H51" s="57" t="n">
        <x:v>8510</x:v>
      </x:c>
      <x:c r="I51" s="57" t="n">
        <x:v>1205100</x:v>
      </x:c>
      <x:c r="J51" s="23" t="str">
        <x:v>MT-0018</x:v>
      </x:c>
    </x:row>
    <x:row r="52">
      <x:c r="A52" s="152" t="str">
        <x:v>CS-00021</x:v>
      </x:c>
      <x:c r="B52" s="49" t="n">
        <x:v>46157</x:v>
      </x:c>
      <x:c r="C52" s="45" t="str">
        <x:v>W-010</x:v>
      </x:c>
      <x:c r="D52" s="45" t="str">
        <x:v>Material</x:v>
      </x:c>
      <x:c r="E52" s="45" t="str">
        <x:v>Праймер</x:v>
      </x:c>
      <x:c r="F52" s="51" t="n">
        <x:v>36.32</x:v>
      </x:c>
      <x:c r="G52" s="45" t="str">
        <x:v>kg</x:v>
      </x:c>
      <x:c r="H52" s="57" t="n">
        <x:v>10980</x:v>
      </x:c>
      <x:c r="I52" s="57" t="n">
        <x:v>398790</x:v>
      </x:c>
      <x:c r="J52" s="23" t="str">
        <x:v>MT-0021</x:v>
      </x:c>
    </x:row>
    <x:row r="53">
      <x:c r="A53" s="152" t="str">
        <x:v>CS-00058</x:v>
      </x:c>
      <x:c r="B53" s="49" t="n">
        <x:v>46157</x:v>
      </x:c>
      <x:c r="C53" s="45" t="str">
        <x:v>W-008</x:v>
      </x:c>
      <x:c r="D53" s="45" t="str">
        <x:v>Labor</x:v>
      </x:c>
      <x:c r="E53" s="45" t="str">
        <x:v>FOREMAN ажилласан цаг</x:v>
      </x:c>
      <x:c r="F53" s="51" t="n">
        <x:v>8</x:v>
      </x:c>
      <x:c r="G53" s="45" t="str">
        <x:v>hour</x:v>
      </x:c>
      <x:c r="H53" s="57" t="n">
        <x:v>20160</x:v>
      </x:c>
      <x:c r="I53" s="57" t="n">
        <x:v>161280</x:v>
      </x:c>
      <x:c r="J53" s="23" t="str">
        <x:v>EMP-003</x:v>
      </x:c>
    </x:row>
    <x:row r="54">
      <x:c r="A54" s="152" t="str">
        <x:v>CS-00023</x:v>
      </x:c>
      <x:c r="B54" s="49" t="n">
        <x:v>46158</x:v>
      </x:c>
      <x:c r="C54" s="45" t="str">
        <x:v>W-011</x:v>
      </x:c>
      <x:c r="D54" s="45" t="str">
        <x:v>Material</x:v>
      </x:c>
      <x:c r="E54" s="45" t="str">
        <x:v>Шалны плитаны цавуу</x:v>
      </x:c>
      <x:c r="F54" s="51" t="n">
        <x:v>152.5</x:v>
      </x:c>
      <x:c r="G54" s="45" t="str">
        <x:v>bag</x:v>
      </x:c>
      <x:c r="H54" s="57" t="n">
        <x:v>43340</x:v>
      </x:c>
      <x:c r="I54" s="57" t="n">
        <x:v>6609350</x:v>
      </x:c>
      <x:c r="J54" s="23" t="str">
        <x:v>MT-0023</x:v>
      </x:c>
    </x:row>
    <x:row r="55">
      <x:c r="A55" s="152" t="str">
        <x:v>CS-00029</x:v>
      </x:c>
      <x:c r="B55" s="49" t="n">
        <x:v>46158</x:v>
      </x:c>
      <x:c r="C55" s="45" t="str">
        <x:v>W-013</x:v>
      </x:c>
      <x:c r="D55" s="45" t="str">
        <x:v>Material</x:v>
      </x:c>
      <x:c r="E55" s="45" t="str">
        <x:v>Таазны хавтан</x:v>
      </x:c>
      <x:c r="F55" s="51" t="n">
        <x:v>174.42</x:v>
      </x:c>
      <x:c r="G55" s="45" t="str">
        <x:v>m2</x:v>
      </x:c>
      <x:c r="H55" s="57" t="n">
        <x:v>36290</x:v>
      </x:c>
      <x:c r="I55" s="57" t="n">
        <x:v>6329700</x:v>
      </x:c>
      <x:c r="J55" s="23" t="str">
        <x:v>MT-0029</x:v>
      </x:c>
    </x:row>
    <x:row r="56">
      <x:c r="A56" s="152" t="str">
        <x:v>CS-00059</x:v>
      </x:c>
      <x:c r="B56" s="49" t="n">
        <x:v>46158</x:v>
      </x:c>
      <x:c r="C56" s="45" t="str">
        <x:v>W-020</x:v>
      </x:c>
      <x:c r="D56" s="45" t="str">
        <x:v>Labor</x:v>
      </x:c>
      <x:c r="E56" s="45" t="str">
        <x:v>SITE-MGR ажилласан цаг</x:v>
      </x:c>
      <x:c r="F56" s="51" t="n">
        <x:v>8</x:v>
      </x:c>
      <x:c r="G56" s="45" t="str">
        <x:v>hour</x:v>
      </x:c>
      <x:c r="H56" s="57" t="n">
        <x:v>26880</x:v>
      </x:c>
      <x:c r="I56" s="57" t="n">
        <x:v>215040</x:v>
      </x:c>
      <x:c r="J56" s="23" t="str">
        <x:v>EMP-001</x:v>
      </x:c>
    </x:row>
    <x:row r="57">
      <x:c r="A57" s="152" t="str">
        <x:v>CS-00025</x:v>
      </x:c>
      <x:c r="B57" s="49" t="n">
        <x:v>46160</x:v>
      </x:c>
      <x:c r="C57" s="45" t="str">
        <x:v>W-012</x:v>
      </x:c>
      <x:c r="D57" s="45" t="str">
        <x:v>Material</x:v>
      </x:c>
      <x:c r="E57" s="45" t="str">
        <x:v>Шалны плитаны цавуу</x:v>
      </x:c>
      <x:c r="F57" s="51" t="n">
        <x:v>18.09</x:v>
      </x:c>
      <x:c r="G57" s="45" t="str">
        <x:v>bag</x:v>
      </x:c>
      <x:c r="H57" s="57" t="n">
        <x:v>43340</x:v>
      </x:c>
      <x:c r="I57" s="57" t="n">
        <x:v>784020</x:v>
      </x:c>
      <x:c r="J57" s="23" t="str">
        <x:v>MT-0025</x:v>
      </x:c>
    </x:row>
    <x:row r="58">
      <x:c r="A58" s="152" t="str">
        <x:v>CS-00027</x:v>
      </x:c>
      <x:c r="B58" s="49" t="n">
        <x:v>46160</x:v>
      </x:c>
      <x:c r="C58" s="45" t="str">
        <x:v>W-012</x:v>
      </x:c>
      <x:c r="D58" s="45" t="str">
        <x:v>Material</x:v>
      </x:c>
      <x:c r="E58" s="45" t="str">
        <x:v>Плита</x:v>
      </x:c>
      <x:c r="F58" s="51" t="n">
        <x:v>109.61</x:v>
      </x:c>
      <x:c r="G58" s="45" t="str">
        <x:v>m2</x:v>
      </x:c>
      <x:c r="H58" s="57" t="n">
        <x:v>76720</x:v>
      </x:c>
      <x:c r="I58" s="57" t="n">
        <x:v>8409280</x:v>
      </x:c>
      <x:c r="J58" s="23" t="str">
        <x:v>MT-0027</x:v>
      </x:c>
    </x:row>
    <x:row r="59">
      <x:c r="A59" s="152" t="str">
        <x:v>CS-00060</x:v>
      </x:c>
      <x:c r="B59" s="49" t="n">
        <x:v>46160</x:v>
      </x:c>
      <x:c r="C59" s="45" t="str">
        <x:v>W-005</x:v>
      </x:c>
      <x:c r="D59" s="45" t="str">
        <x:v>Labor</x:v>
      </x:c>
      <x:c r="E59" s="45" t="str">
        <x:v>SITE-MGR ажилласан цаг</x:v>
      </x:c>
      <x:c r="F59" s="51" t="n">
        <x:v>8</x:v>
      </x:c>
      <x:c r="G59" s="45" t="str">
        <x:v>hour</x:v>
      </x:c>
      <x:c r="H59" s="57" t="n">
        <x:v>26880</x:v>
      </x:c>
      <x:c r="I59" s="57" t="n">
        <x:v>215040</x:v>
      </x:c>
      <x:c r="J59" s="23" t="str">
        <x:v>EMP-001</x:v>
      </x:c>
    </x:row>
    <x:row r="60">
      <x:c r="A60" s="152" t="str">
        <x:v>CS-00071</x:v>
      </x:c>
      <x:c r="B60" s="49" t="n">
        <x:v>46160</x:v>
      </x:c>
      <x:c r="C60" s="45" t="str">
        <x:v>W-012</x:v>
      </x:c>
      <x:c r="D60" s="45" t="str">
        <x:v>Transport</x:v>
      </x:c>
      <x:c r="E60" s="45" t="str">
        <x:v>Плита хүргэлт</x:v>
      </x:c>
      <x:c r="F60" s="51" t="n">
        <x:v>4</x:v>
      </x:c>
      <x:c r="G60" s="45" t="str">
        <x:v>trip</x:v>
      </x:c>
      <x:c r="H60" s="57" t="n">
        <x:v>252000</x:v>
      </x:c>
      <x:c r="I60" s="57" t="n">
        <x:v>1008000</x:v>
      </x:c>
      <x:c r="J60" s="23" t="str">
        <x:v>REF-0071</x:v>
      </x:c>
    </x:row>
    <x:row r="61">
      <x:c r="A61" s="152" t="str">
        <x:v>CS-00024</x:v>
      </x:c>
      <x:c r="B61" s="49" t="n">
        <x:v>46161</x:v>
      </x:c>
      <x:c r="C61" s="45" t="str">
        <x:v>W-011</x:v>
      </x:c>
      <x:c r="D61" s="45" t="str">
        <x:v>Material</x:v>
      </x:c>
      <x:c r="E61" s="45" t="str">
        <x:v>Шалны плитаны цавуу</x:v>
      </x:c>
      <x:c r="F61" s="51" t="n">
        <x:v>26.89</x:v>
      </x:c>
      <x:c r="G61" s="45" t="str">
        <x:v>bag</x:v>
      </x:c>
      <x:c r="H61" s="57" t="n">
        <x:v>43340</x:v>
      </x:c>
      <x:c r="I61" s="57" t="n">
        <x:v>1165410</x:v>
      </x:c>
      <x:c r="J61" s="23" t="str">
        <x:v>MT-0024</x:v>
      </x:c>
    </x:row>
    <x:row r="62">
      <x:c r="A62" s="152" t="str">
        <x:v>CS-00061</x:v>
      </x:c>
      <x:c r="B62" s="49" t="n">
        <x:v>46161</x:v>
      </x:c>
      <x:c r="C62" s="45" t="str">
        <x:v>W-008</x:v>
      </x:c>
      <x:c r="D62" s="45" t="str">
        <x:v>Labor</x:v>
      </x:c>
      <x:c r="E62" s="45" t="str">
        <x:v>SITE-MGR ажилласан цаг</x:v>
      </x:c>
      <x:c r="F62" s="51" t="n">
        <x:v>10</x:v>
      </x:c>
      <x:c r="G62" s="45" t="str">
        <x:v>hour</x:v>
      </x:c>
      <x:c r="H62" s="57" t="n">
        <x:v>26880</x:v>
      </x:c>
      <x:c r="I62" s="57" t="n">
        <x:v>268800</x:v>
      </x:c>
      <x:c r="J62" s="23" t="str">
        <x:v>EMP-001</x:v>
      </x:c>
    </x:row>
    <x:row r="63">
      <x:c r="A63" s="152" t="str">
        <x:v>CS-00062</x:v>
      </x:c>
      <x:c r="B63" s="49" t="n">
        <x:v>46162</x:v>
      </x:c>
      <x:c r="C63" s="45" t="str">
        <x:v>W-016</x:v>
      </x:c>
      <x:c r="D63" s="45" t="str">
        <x:v>Labor</x:v>
      </x:c>
      <x:c r="E63" s="45" t="str">
        <x:v>ELECTRICIAN ажилласан цаг</x:v>
      </x:c>
      <x:c r="F63" s="51" t="n">
        <x:v>9.5</x:v>
      </x:c>
      <x:c r="G63" s="45" t="str">
        <x:v>hour</x:v>
      </x:c>
      <x:c r="H63" s="57" t="n">
        <x:v>19600</x:v>
      </x:c>
      <x:c r="I63" s="57" t="n">
        <x:v>186200</x:v>
      </x:c>
      <x:c r="J63" s="23" t="str">
        <x:v>EMP-007</x:v>
      </x:c>
    </x:row>
    <x:row r="64">
      <x:c r="A64" s="152" t="str">
        <x:v>CS-00026</x:v>
      </x:c>
      <x:c r="B64" s="49" t="n">
        <x:v>46163</x:v>
      </x:c>
      <x:c r="C64" s="45" t="str">
        <x:v>W-012</x:v>
      </x:c>
      <x:c r="D64" s="45" t="str">
        <x:v>Material</x:v>
      </x:c>
      <x:c r="E64" s="45" t="str">
        <x:v>Шалны плитаны цавуу</x:v>
      </x:c>
      <x:c r="F64" s="51" t="n">
        <x:v>157.25</x:v>
      </x:c>
      <x:c r="G64" s="45" t="str">
        <x:v>bag</x:v>
      </x:c>
      <x:c r="H64" s="57" t="n">
        <x:v>43340</x:v>
      </x:c>
      <x:c r="I64" s="57" t="n">
        <x:v>6815220</x:v>
      </x:c>
      <x:c r="J64" s="23" t="str">
        <x:v>MT-0026</x:v>
      </x:c>
    </x:row>
    <x:row r="65">
      <x:c r="A65" s="152" t="str">
        <x:v>CS-00028</x:v>
      </x:c>
      <x:c r="B65" s="49" t="n">
        <x:v>46163</x:v>
      </x:c>
      <x:c r="C65" s="45" t="str">
        <x:v>W-012</x:v>
      </x:c>
      <x:c r="D65" s="45" t="str">
        <x:v>Material</x:v>
      </x:c>
      <x:c r="E65" s="45" t="str">
        <x:v>Плита</x:v>
      </x:c>
      <x:c r="F65" s="51" t="n">
        <x:v>62.77</x:v>
      </x:c>
      <x:c r="G65" s="45" t="str">
        <x:v>m2</x:v>
      </x:c>
      <x:c r="H65" s="57" t="n">
        <x:v>76720</x:v>
      </x:c>
      <x:c r="I65" s="57" t="n">
        <x:v>4815710</x:v>
      </x:c>
      <x:c r="J65" s="23" t="str">
        <x:v>MT-0028</x:v>
      </x:c>
    </x:row>
    <x:row r="66">
      <x:c r="A66" s="152" t="str">
        <x:v>CS-00063</x:v>
      </x:c>
      <x:c r="B66" s="49" t="n">
        <x:v>46163</x:v>
      </x:c>
      <x:c r="C66" s="45" t="str">
        <x:v>W-020</x:v>
      </x:c>
      <x:c r="D66" s="45" t="str">
        <x:v>Labor</x:v>
      </x:c>
      <x:c r="E66" s="45" t="str">
        <x:v>SAFETY ажилласан цаг</x:v>
      </x:c>
      <x:c r="F66" s="51" t="n">
        <x:v>10</x:v>
      </x:c>
      <x:c r="G66" s="45" t="str">
        <x:v>hour</x:v>
      </x:c>
      <x:c r="H66" s="57" t="n">
        <x:v>15680</x:v>
      </x:c>
      <x:c r="I66" s="57" t="n">
        <x:v>156800</x:v>
      </x:c>
      <x:c r="J66" s="23" t="str">
        <x:v>EMP-014</x:v>
      </x:c>
    </x:row>
    <x:row r="67">
      <x:c r="A67" s="152" t="str">
        <x:v>CS-00030</x:v>
      </x:c>
      <x:c r="B67" s="49" t="n">
        <x:v>46164</x:v>
      </x:c>
      <x:c r="C67" s="45" t="str">
        <x:v>W-014</x:v>
      </x:c>
      <x:c r="D67" s="45" t="str">
        <x:v>Material</x:v>
      </x:c>
      <x:c r="E67" s="45" t="str">
        <x:v>Праймер</x:v>
      </x:c>
      <x:c r="F67" s="51" t="n">
        <x:v>90.92</x:v>
      </x:c>
      <x:c r="G67" s="45" t="str">
        <x:v>kg</x:v>
      </x:c>
      <x:c r="H67" s="57" t="n">
        <x:v>10980</x:v>
      </x:c>
      <x:c r="I67" s="57" t="n">
        <x:v>998300</x:v>
      </x:c>
      <x:c r="J67" s="23" t="str">
        <x:v>MT-0030</x:v>
      </x:c>
    </x:row>
    <x:row r="68">
      <x:c r="A68" s="152" t="str">
        <x:v>CS-00035</x:v>
      </x:c>
      <x:c r="B68" s="49" t="n">
        <x:v>46164</x:v>
      </x:c>
      <x:c r="C68" s="45" t="str">
        <x:v>W-016</x:v>
      </x:c>
      <x:c r="D68" s="45" t="str">
        <x:v>Material</x:v>
      </x:c>
      <x:c r="E68" s="45" t="str">
        <x:v>LED гэрэлтүүлэг</x:v>
      </x:c>
      <x:c r="F68" s="51" t="n">
        <x:v>69.96</x:v>
      </x:c>
      <x:c r="G68" s="45" t="str">
        <x:v>pcs</x:v>
      </x:c>
      <x:c r="H68" s="57" t="n">
        <x:v>103040</x:v>
      </x:c>
      <x:c r="I68" s="57" t="n">
        <x:v>7208680</x:v>
      </x:c>
      <x:c r="J68" s="23" t="str">
        <x:v>MT-0035</x:v>
      </x:c>
    </x:row>
    <x:row r="69">
      <x:c r="A69" s="152" t="str">
        <x:v>CS-00064</x:v>
      </x:c>
      <x:c r="B69" s="49" t="n">
        <x:v>46164</x:v>
      </x:c>
      <x:c r="C69" s="45" t="str">
        <x:v>W-017</x:v>
      </x:c>
      <x:c r="D69" s="45" t="str">
        <x:v>Labor</x:v>
      </x:c>
      <x:c r="E69" s="45" t="str">
        <x:v>ENGINEER ажилласан цаг</x:v>
      </x:c>
      <x:c r="F69" s="51" t="n">
        <x:v>8</x:v>
      </x:c>
      <x:c r="G69" s="45" t="str">
        <x:v>hour</x:v>
      </x:c>
      <x:c r="H69" s="57" t="n">
        <x:v>23520</x:v>
      </x:c>
      <x:c r="I69" s="57" t="n">
        <x:v>188160</x:v>
      </x:c>
      <x:c r="J69" s="23" t="str">
        <x:v>EMP-002</x:v>
      </x:c>
    </x:row>
    <x:row r="70">
      <x:c r="A70" s="152" t="str">
        <x:v>CS-00036</x:v>
      </x:c>
      <x:c r="B70" s="49" t="n">
        <x:v>46166</x:v>
      </x:c>
      <x:c r="C70" s="45" t="str">
        <x:v>W-018</x:v>
      </x:c>
      <x:c r="D70" s="45" t="str">
        <x:v>Material</x:v>
      </x:c>
      <x:c r="E70" s="45" t="str">
        <x:v>Винил шал</x:v>
      </x:c>
      <x:c r="F70" s="51" t="n">
        <x:v>99.23</x:v>
      </x:c>
      <x:c r="G70" s="45" t="str">
        <x:v>m2</x:v>
      </x:c>
      <x:c r="H70" s="57" t="n">
        <x:v>83100</x:v>
      </x:c>
      <x:c r="I70" s="57" t="n">
        <x:v>8246010</x:v>
      </x:c>
      <x:c r="J70" s="23" t="str">
        <x:v>MT-0036</x:v>
      </x:c>
    </x:row>
    <x:row r="71">
      <x:c r="A71" s="152" t="str">
        <x:v>CS-00031</x:v>
      </x:c>
      <x:c r="B71" s="49" t="n">
        <x:v>46167</x:v>
      </x:c>
      <x:c r="C71" s="45" t="str">
        <x:v>W-014</x:v>
      </x:c>
      <x:c r="D71" s="45" t="str">
        <x:v>Material</x:v>
      </x:c>
      <x:c r="E71" s="45" t="str">
        <x:v>Праймер</x:v>
      </x:c>
      <x:c r="F71" s="51" t="n">
        <x:v>29.54</x:v>
      </x:c>
      <x:c r="G71" s="45" t="str">
        <x:v>kg</x:v>
      </x:c>
      <x:c r="H71" s="57" t="n">
        <x:v>10980</x:v>
      </x:c>
      <x:c r="I71" s="57" t="n">
        <x:v>324350</x:v>
      </x:c>
      <x:c r="J71" s="23" t="str">
        <x:v>MT-0031</x:v>
      </x:c>
    </x:row>
    <x:row r="72">
      <x:c r="A72" s="152" t="str">
        <x:v>CS-00033</x:v>
      </x:c>
      <x:c r="B72" s="49" t="n">
        <x:v>46169</x:v>
      </x:c>
      <x:c r="C72" s="45" t="str">
        <x:v>W-015</x:v>
      </x:c>
      <x:c r="D72" s="45" t="str">
        <x:v>Material</x:v>
      </x:c>
      <x:c r="E72" s="45" t="str">
        <x:v>Дотор заслын будаг</x:v>
      </x:c>
      <x:c r="F72" s="51" t="n">
        <x:v>101.45</x:v>
      </x:c>
      <x:c r="G72" s="45" t="str">
        <x:v>kg</x:v>
      </x:c>
      <x:c r="H72" s="57" t="n">
        <x:v>23970</x:v>
      </x:c>
      <x:c r="I72" s="57" t="n">
        <x:v>2431760</x:v>
      </x:c>
      <x:c r="J72" s="23" t="str">
        <x:v>MT-0033</x:v>
      </x:c>
    </x:row>
    <x:row r="73">
      <x:c r="A73" s="152" t="str">
        <x:v>CS-00032</x:v>
      </x:c>
      <x:c r="B73" s="49" t="n">
        <x:v>46170</x:v>
      </x:c>
      <x:c r="C73" s="45" t="str">
        <x:v>W-014</x:v>
      </x:c>
      <x:c r="D73" s="45" t="str">
        <x:v>Material</x:v>
      </x:c>
      <x:c r="E73" s="45" t="str">
        <x:v>Праймер</x:v>
      </x:c>
      <x:c r="F73" s="51" t="n">
        <x:v>55.15</x:v>
      </x:c>
      <x:c r="G73" s="45" t="str">
        <x:v>kg</x:v>
      </x:c>
      <x:c r="H73" s="57" t="n">
        <x:v>10980</x:v>
      </x:c>
      <x:c r="I73" s="57" t="n">
        <x:v>605550</x:v>
      </x:c>
      <x:c r="J73" s="23" t="str">
        <x:v>MT-0032</x:v>
      </x:c>
    </x:row>
    <x:row r="74">
      <x:c r="A74" s="153" t="str">
        <x:v>CS-00034</x:v>
      </x:c>
      <x:c r="B74" s="65" t="n">
        <x:v>46172</x:v>
      </x:c>
      <x:c r="C74" s="46" t="str">
        <x:v>W-015</x:v>
      </x:c>
      <x:c r="D74" s="46" t="str">
        <x:v>Material</x:v>
      </x:c>
      <x:c r="E74" s="46" t="str">
        <x:v>Дотор заслын будаг</x:v>
      </x:c>
      <x:c r="F74" s="66" t="n">
        <x:v>158.64</x:v>
      </x:c>
      <x:c r="G74" s="46" t="str">
        <x:v>kg</x:v>
      </x:c>
      <x:c r="H74" s="68" t="n">
        <x:v>23970</x:v>
      </x:c>
      <x:c r="I74" s="68" t="n">
        <x:v>3802600</x:v>
      </x:c>
      <x:c r="J74" s="25" t="str">
        <x:v>MT-0034</x:v>
      </x:c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J1"/>
  </x:mergeCells>
  <x:dataValidations count="1">
    <x:dataValidation type="list" sqref="D4:D74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bc00bf46ed41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18" hidden="0" customWidth="1"/>
    <x:col min="5" max="5" width="12" hidden="0" customWidth="1"/>
    <x:col min="3" max="3" width="20" hidden="0" customWidth="1"/>
  </x:cols>
  <x:sheetData>
    <x:row r="1" ht="28" customHeight="1">
      <x:c r="A1" s="5" t="str">
        <x:v>PROJECT CONTROL DASHBOARD</x:v>
      </x:c>
      <x:c r="B1" s="5"/>
      <x:c r="C1" s="5"/>
      <x:c r="D1" s="5"/>
      <x:c r="E1" s="5"/>
      <x:c r="F1" s="5"/>
      <x:c r="G1" s="5"/>
      <x:c r="H1" s="5"/>
    </x:row>
    <x:row r="2">
      <x:c r="A2" s="143"/>
    </x:row>
    <x:row r="3">
      <x:c r="A3" s="131" t="str">
        <x:v>KPI</x:v>
      </x:c>
      <x:c r="B3" s="132" t="str">
        <x:v>Value</x:v>
      </x:c>
      <x:c r="D3" s="131" t="str">
        <x:v>Status</x:v>
      </x:c>
      <x:c r="E3" s="132" t="str">
        <x:v>Count</x:v>
      </x:c>
    </x:row>
    <x:row r="4">
      <x:c r="A4" s="133" t="str">
        <x:v>Total Work Items</x:v>
      </x:c>
      <x:c r="B4" s="23" t="n">
        <x:f>COUNTA(Work_Plan!A4:A23)</x:f>
        <x:v>20</x:v>
      </x:c>
      <x:c r="D4" s="22" t="str">
        <x:v>Completed</x:v>
      </x:c>
      <x:c r="E4" s="23" t="n">
        <x:f>COUNTIF(Work_Plan!K4:K23,D4)</x:f>
        <x:v>7</x:v>
      </x:c>
    </x:row>
    <x:row r="5">
      <x:c r="A5" s="133" t="str">
        <x:v>Completed Items</x:v>
      </x:c>
      <x:c r="B5" s="23" t="n">
        <x:f>COUNTIF(Work_Plan!K4:K23,"Completed")</x:f>
        <x:v>7</x:v>
      </x:c>
      <x:c r="D5" s="22" t="str">
        <x:v>In Progress</x:v>
      </x:c>
      <x:c r="E5" s="23" t="n">
        <x:f>COUNTIF(Work_Plan!K4:K23,D5)</x:f>
        <x:v>6</x:v>
      </x:c>
    </x:row>
    <x:row r="6">
      <x:c r="A6" s="133" t="str">
        <x:v>Average Progress</x:v>
      </x:c>
      <x:c r="B6" s="134" t="n">
        <x:f>AVERAGE(Work_Plan!J4:J23)</x:f>
        <x:v>52.2</x:v>
      </x:c>
      <x:c r="D6" s="22" t="str">
        <x:v>Not Started</x:v>
      </x:c>
      <x:c r="E6" s="23" t="n">
        <x:f>COUNTIF(Work_Plan!K4:K23,D6)</x:f>
        <x:v>7</x:v>
      </x:c>
    </x:row>
    <x:row r="7">
      <x:c r="A7" s="133" t="str">
        <x:v>Adjusted Budget</x:v>
      </x:c>
      <x:c r="B7" s="64" t="n">
        <x:f>SUM(Work_Plan!L4:L23)</x:f>
        <x:v>430528000</x:v>
      </x:c>
      <x:c r="D7" s="24" t="str">
        <x:v>Blocked</x:v>
      </x:c>
      <x:c r="E7" s="25" t="n">
        <x:f>COUNTIF(Work_Plan!K4:K23,D7)</x:f>
        <x:v>0</x:v>
      </x:c>
    </x:row>
    <x:row r="8">
      <x:c r="A8" s="135" t="str">
        <x:v>Recorded Actual Cost</x:v>
      </x:c>
      <x:c r="B8" s="69" t="n">
        <x:f>SUM(Costs!I4:I74)</x:f>
        <x:v>99205340</x:v>
      </x:c>
    </x:row>
    <x:row r="9">
      <x:c r="A9" s="143"/>
    </x:row>
    <x:row r="10">
      <x:c r="A10" s="143"/>
    </x:row>
    <x:row r="11">
      <x:c r="A11" s="131" t="str">
        <x:v>Discipline</x:v>
      </x:c>
      <x:c r="B11" s="141" t="str">
        <x:v>Planned Budget</x:v>
      </x:c>
      <x:c r="C11" s="132" t="str">
        <x:v>Actual Cost</x:v>
      </x:c>
    </x:row>
    <x:row r="12">
      <x:c r="A12" s="152" t="str">
        <x:v>Demolition</x:v>
      </x:c>
      <x:c r="B12" s="57" t="n">
        <x:f>SUMIF(Work_Plan!C4:C23,A12,Work_Plan!L4:L23)</x:f>
        <x:v>23520000</x:v>
      </x:c>
      <x:c r="C12" s="64" t="n">
        <x:f>SUMIF(Work_Plan!C4:C23,A12,Work_Plan!M4:M23)</x:f>
        <x:v>22725000</x:v>
      </x:c>
    </x:row>
    <x:row r="13">
      <x:c r="A13" s="152" t="str">
        <x:v>Electrical</x:v>
      </x:c>
      <x:c r="B13" s="57" t="n">
        <x:f>SUMIF(Work_Plan!C4:C23,A13,Work_Plan!L4:L23)</x:f>
        <x:v>60928000</x:v>
      </x:c>
      <x:c r="C13" s="64" t="n">
        <x:f>SUMIF(Work_Plan!C4:C23,A13,Work_Plan!M4:M23)</x:f>
        <x:v>33152000</x:v>
      </x:c>
    </x:row>
    <x:row r="14">
      <x:c r="A14" s="152" t="str">
        <x:v>Plumbing</x:v>
      </x:c>
      <x:c r="B14" s="57" t="n">
        <x:f>SUMIF(Work_Plan!C4:C23,A14,Work_Plan!L4:L23)</x:f>
        <x:v>43904000</x:v>
      </x:c>
      <x:c r="C14" s="64" t="n">
        <x:f>SUMIF(Work_Plan!C4:C23,A14,Work_Plan!M4:M23)</x:f>
        <x:v>23224000</x:v>
      </x:c>
    </x:row>
    <x:row r="15">
      <x:c r="A15" s="152" t="str">
        <x:v>Partition</x:v>
      </x:c>
      <x:c r="B15" s="57" t="n">
        <x:f>SUMIF(Work_Plan!C4:C23,A15,Work_Plan!L4:L23)</x:f>
        <x:v>61152000</x:v>
      </x:c>
      <x:c r="C15" s="64" t="n">
        <x:f>SUMIF(Work_Plan!C4:C23,A15,Work_Plan!M4:M23)</x:f>
        <x:v>53063000</x:v>
      </x:c>
    </x:row>
    <x:row r="16">
      <x:c r="A16" s="152" t="str">
        <x:v>Ceiling</x:v>
      </x:c>
      <x:c r="B16" s="57" t="n">
        <x:f>SUMIF(Work_Plan!C4:C23,A16,Work_Plan!L4:L23)</x:f>
        <x:v>50848000</x:v>
      </x:c>
      <x:c r="C16" s="64" t="n">
        <x:f>SUMIF(Work_Plan!C4:C23,A16,Work_Plan!M4:M23)</x:f>
        <x:v>22120000</x:v>
      </x:c>
    </x:row>
    <x:row r="17">
      <x:c r="A17" s="152" t="str">
        <x:v>Flooring</x:v>
      </x:c>
      <x:c r="B17" s="57" t="n">
        <x:f>SUMIF(Work_Plan!C4:C23,A17,Work_Plan!L4:L23)</x:f>
        <x:v>68096000</x:v>
      </x:c>
      <x:c r="C17" s="64" t="n">
        <x:f>SUMIF(Work_Plan!C4:C23,A17,Work_Plan!M4:M23)</x:f>
        <x:v>30181000</x:v>
      </x:c>
    </x:row>
    <x:row r="18">
      <x:c r="A18" s="153" t="str">
        <x:v>Painting</x:v>
      </x:c>
      <x:c r="B18" s="68" t="n">
        <x:f>SUMIF(Work_Plan!C4:C23,A18,Work_Plan!L4:L23)</x:f>
        <x:v>48160000</x:v>
      </x:c>
      <x:c r="C18" s="69" t="n">
        <x:f>SUMIF(Work_Plan!C4:C23,A18,Work_Plan!M4:M23)</x:f>
        <x:v>0</x:v>
      </x:c>
    </x:row>
    <x:row r="19">
      <x:c r="A19" s="143"/>
    </x:row>
    <x:row r="20">
      <x:c r="A20" s="143"/>
    </x:row>
    <x:row r="21">
      <x:c r="A21" s="143"/>
    </x:row>
    <x:row r="22">
      <x:c r="A22" s="143"/>
    </x:row>
    <x:row r="23">
      <x:c r="A23" s="143"/>
    </x:row>
    <x:row r="24">
      <x:c r="A24" s="143"/>
    </x:row>
    <x:row r="25">
      <x:c r="A25" s="143"/>
    </x:row>
    <x:row r="26">
      <x:c r="A26" s="143"/>
    </x:row>
    <x:row r="27">
      <x:c r="A27" s="143"/>
    </x:row>
    <x:row r="28">
      <x:c r="A28" s="143"/>
    </x:row>
    <x:row r="29">
      <x:c r="A29" s="143"/>
    </x:row>
    <x:row r="30">
      <x:c r="A30" s="143"/>
    </x:row>
    <x:row r="31">
      <x:c r="A31" s="143"/>
    </x:row>
    <x:row r="32">
      <x:c r="A32" s="143"/>
    </x:row>
    <x:row r="33">
      <x:c r="A33" s="143"/>
    </x:row>
    <x:row r="34">
      <x:c r="A34" s="143"/>
    </x:row>
    <x:row r="35">
      <x:c r="A35" s="143"/>
    </x:row>
    <x:row r="36">
      <x:c r="A36" s="143"/>
    </x:row>
    <x:row r="37">
      <x:c r="A37" s="143"/>
    </x:row>
    <x:row r="38">
      <x:c r="A38" s="143"/>
    </x:row>
    <x:row r="39">
      <x:c r="A39" s="143"/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458ea294aff40f4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18" hidden="0" customWidth="1"/>
  </x:cols>
  <x:sheetData>
    <x:row r="1">
      <x:c r="A1" s="5" t="str">
        <x:v>DATA DICTIONARY</x:v>
      </x:c>
      <x:c r="B1" s="5"/>
      <x:c r="C1" s="5"/>
      <x:c r="D1" s="5"/>
    </x:row>
    <x:row r="2">
      <x:c r="A2" s="143"/>
    </x:row>
    <x:row r="3">
      <x:c r="A3" s="14" t="str">
        <x:v>Sheet</x:v>
      </x:c>
      <x:c r="B3" s="14" t="str">
        <x:v>Field</x:v>
      </x:c>
      <x:c r="C3" s="14" t="str">
        <x:v>Description</x:v>
      </x:c>
      <x:c r="D3" s="14" t="str">
        <x:v>Privacy Note</x:v>
      </x:c>
    </x:row>
    <x:row r="4">
      <x:c r="A4" s="144" t="str">
        <x:v>Work_Plan</x:v>
      </x:c>
      <x:c r="B4" s="81" t="str">
        <x:v>Work_Code</x:v>
      </x:c>
      <x:c r="C4" s="81" t="str">
        <x:v>Төслийн бүх sheet-д ашиглагдах ажлын давтагдашгүй код</x:v>
      </x:c>
      <x:c r="D4" s="33" t="str">
        <x:v>Хадгалсан</x:v>
      </x:c>
    </x:row>
    <x:row r="5">
      <x:c r="A5" s="145" t="str">
        <x:v>Work_Plan</x:v>
      </x:c>
      <x:c r="B5" s="87" t="str">
        <x:v>Dependency</x:v>
      </x:c>
      <x:c r="C5" s="87" t="str">
        <x:v>Өмнөх ажлын Work_Code-ийн жагсаалт</x:v>
      </x:c>
      <x:c r="D5" s="35" t="str">
        <x:v>Хадгалсан</x:v>
      </x:c>
    </x:row>
    <x:row r="6">
      <x:c r="A6" s="145" t="str">
        <x:v>Work_Plan</x:v>
      </x:c>
      <x:c r="B6" s="87" t="str">
        <x:v>Planned_Start/End</x:v>
      </x:c>
      <x:c r="C6" s="87" t="str">
        <x:v>Ижил хоногоор шилжүүлсэн төлөвлөгөөт огноо</x:v>
      </x:c>
      <x:c r="D6" s="35" t="str">
        <x:v>Shifted</x:v>
      </x:c>
    </x:row>
    <x:row r="7">
      <x:c r="A7" s="145" t="str">
        <x:v>Work_Plan</x:v>
      </x:c>
      <x:c r="B7" s="87" t="str">
        <x:v>Budget_Adjusted</x:v>
      </x:c>
      <x:c r="C7" s="87" t="str">
        <x:v>Ижил коэффициентоор өөрчилсөн төсөв</x:v>
      </x:c>
      <x:c r="D7" s="35" t="str">
        <x:v>Scaled</x:v>
      </x:c>
    </x:row>
    <x:row r="8">
      <x:c r="A8" s="145" t="str">
        <x:v>Daily_Reports</x:v>
      </x:c>
      <x:c r="B8" s="87" t="str">
        <x:v>Report_ID</x:v>
      </x:c>
      <x:c r="C8" s="87" t="str">
        <x:v>Өдөр тутмын тайлангийн код</x:v>
      </x:c>
      <x:c r="D8" s="35" t="str">
        <x:v>Generated</x:v>
      </x:c>
    </x:row>
    <x:row r="9">
      <x:c r="A9" s="145" t="str">
        <x:v>Attendance</x:v>
      </x:c>
      <x:c r="B9" s="87" t="str">
        <x:v>Employee_Code</x:v>
      </x:c>
      <x:c r="C9" s="87" t="str">
        <x:v>Ажилтны нэрийг орлуулсан код</x:v>
      </x:c>
      <x:c r="D9" s="35" t="str">
        <x:v>Anonymized</x:v>
      </x:c>
    </x:row>
    <x:row r="10">
      <x:c r="A10" s="145" t="str">
        <x:v>Materials</x:v>
      </x:c>
      <x:c r="B10" s="87" t="str">
        <x:v>Vendor_Code</x:v>
      </x:c>
      <x:c r="C10" s="87" t="str">
        <x:v>Нийлүүлэгчийн нэрийг орлуулсан код</x:v>
      </x:c>
      <x:c r="D10" s="35" t="str">
        <x:v>Anonymized</x:v>
      </x:c>
    </x:row>
    <x:row r="11">
      <x:c r="A11" s="145" t="str">
        <x:v>Costs</x:v>
      </x:c>
      <x:c r="B11" s="87" t="str">
        <x:v>Reference_Code</x:v>
      </x:c>
      <x:c r="C11" s="87" t="str">
        <x:v>Баримт/гэрээний дугаарын оронд ашигласан код</x:v>
      </x:c>
      <x:c r="D11" s="35" t="str">
        <x:v>Anonymized</x:v>
      </x:c>
    </x:row>
    <x:row r="12">
      <x:c r="A12" s="146" t="str">
        <x:v>README</x:v>
      </x:c>
      <x:c r="B12" s="93" t="str">
        <x:v>CLI-001 / ORG-001</x:v>
      </x:c>
      <x:c r="C12" s="93" t="str">
        <x:v>Захиалагч, гүйцэтгэгчийн anonymized код</x:v>
      </x:c>
      <x:c r="D12" s="37" t="str">
        <x:v>Anonymized</x:v>
      </x:c>
    </x:row>
    <x:row r="13">
      <x:c r="A13" s="143"/>
    </x:row>
    <x:row r="14">
      <x:c r="A14" s="143"/>
    </x:row>
    <x:row r="15">
      <x:c r="A15" s="143"/>
    </x:row>
    <x:row r="16">
      <x:c r="A16" s="143"/>
    </x:row>
    <x:row r="17">
      <x:c r="A17" s="143"/>
    </x:row>
    <x:row r="18">
      <x:c r="A18" s="143"/>
    </x:row>
    <x:row r="19">
      <x:c r="A19" s="143"/>
    </x:row>
    <x:row r="20">
      <x:c r="A20" s="143"/>
    </x:row>
    <x:row r="21">
      <x:c r="A21" s="143"/>
    </x:row>
    <x:row r="22">
      <x:c r="A22" s="143"/>
    </x:row>
    <x:row r="23">
      <x:c r="A23" s="143"/>
    </x:row>
    <x:row r="24">
      <x:c r="A24" s="143"/>
    </x:row>
    <x:row r="25">
      <x:c r="A25" s="143"/>
    </x:row>
    <x:row r="26">
      <x:c r="A26" s="143"/>
    </x:row>
    <x:row r="27">
      <x:c r="A27" s="143"/>
    </x:row>
    <x:row r="28">
      <x:c r="A28" s="143"/>
    </x:row>
    <x:row r="29">
      <x:c r="A29" s="143"/>
    </x:row>
    <x:row r="30">
      <x:c r="A30" s="143"/>
    </x:row>
    <x:row r="31">
      <x:c r="A31" s="143"/>
    </x:row>
    <x:row r="32">
      <x:c r="A32" s="143"/>
    </x:row>
    <x:row r="33">
      <x:c r="A33" s="143"/>
    </x:row>
    <x:row r="34">
      <x:c r="A34" s="143"/>
    </x:row>
    <x:row r="35">
      <x:c r="A35" s="143"/>
    </x:row>
    <x:row r="36">
      <x:c r="A36" s="143"/>
    </x:row>
    <x:row r="37">
      <x:c r="A37" s="143"/>
    </x:row>
    <x:row r="38">
      <x:c r="A38" s="143"/>
    </x:row>
    <x:row r="39">
      <x:c r="A39" s="143"/>
    </x:row>
    <x:row r="40">
      <x:c r="A40" s="143"/>
    </x:row>
    <x:row r="41">
      <x:c r="A41" s="143"/>
    </x:row>
    <x:row r="42">
      <x:c r="A42" s="143"/>
    </x:row>
    <x:row r="43">
      <x:c r="A43" s="143"/>
    </x:row>
    <x:row r="44">
      <x:c r="A44" s="143"/>
    </x:row>
    <x:row r="45">
      <x:c r="A45" s="143"/>
    </x:row>
    <x:row r="46">
      <x:c r="A46" s="143"/>
    </x:row>
    <x:row r="47">
      <x:c r="A47" s="143"/>
    </x:row>
    <x:row r="48">
      <x:c r="A48" s="143"/>
    </x:row>
    <x:row r="49">
      <x:c r="A49" s="143"/>
    </x:row>
    <x:row r="50">
      <x:c r="A50" s="143"/>
    </x:row>
    <x:row r="51">
      <x:c r="A51" s="143"/>
    </x:row>
    <x:row r="52">
      <x:c r="A52" s="143"/>
    </x:row>
    <x:row r="53">
      <x:c r="A53" s="143"/>
    </x:row>
    <x:row r="54">
      <x:c r="A54" s="143"/>
    </x:row>
    <x:row r="55">
      <x:c r="A55" s="143"/>
    </x:row>
    <x:row r="56">
      <x:c r="A56" s="143"/>
    </x:row>
    <x:row r="57">
      <x:c r="A57" s="143"/>
    </x:row>
    <x:row r="58">
      <x:c r="A58" s="143"/>
    </x:row>
    <x:row r="59">
      <x:c r="A59" s="143"/>
    </x:row>
    <x:row r="60">
      <x:c r="A60" s="143"/>
    </x:row>
    <x:row r="61">
      <x:c r="A61" s="143"/>
    </x:row>
    <x:row r="62">
      <x:c r="A62" s="143"/>
    </x:row>
    <x:row r="63">
      <x:c r="A63" s="143"/>
    </x:row>
    <x:row r="64">
      <x:c r="A64" s="143"/>
    </x:row>
    <x:row r="65">
      <x:c r="A65" s="143"/>
    </x:row>
    <x:row r="66">
      <x:c r="A66" s="143"/>
    </x:row>
    <x:row r="67">
      <x:c r="A67" s="143"/>
    </x:row>
    <x:row r="68">
      <x:c r="A68" s="143"/>
    </x:row>
    <x:row r="69">
      <x:c r="A69" s="143"/>
    </x:row>
    <x:row r="70">
      <x:c r="A70" s="143"/>
    </x:row>
    <x:row r="71">
      <x:c r="A71" s="143"/>
    </x:row>
    <x:row r="72">
      <x:c r="A72" s="143"/>
    </x:row>
    <x:row r="73">
      <x:c r="A73" s="143"/>
    </x:row>
    <x:row r="74">
      <x:c r="A74" s="143"/>
    </x:row>
    <x:row r="75">
      <x:c r="A75" s="143"/>
    </x:row>
    <x:row r="76">
      <x:c r="A76" s="143"/>
    </x:row>
    <x:row r="77">
      <x:c r="A77" s="143"/>
    </x:row>
    <x:row r="78">
      <x:c r="A78" s="143"/>
    </x:row>
    <x:row r="79">
      <x:c r="A79" s="143"/>
    </x:row>
    <x:row r="80">
      <x:c r="A80" s="143"/>
    </x:row>
    <x:row r="81">
      <x:c r="A81" s="143"/>
    </x:row>
    <x:row r="82">
      <x:c r="A82" s="143"/>
    </x:row>
    <x:row r="83">
      <x:c r="A83" s="143"/>
    </x:row>
    <x:row r="84">
      <x:c r="A84" s="143"/>
    </x:row>
    <x:row r="85">
      <x:c r="A85" s="143"/>
    </x:row>
    <x:row r="86">
      <x:c r="A86" s="143"/>
    </x:row>
    <x:row r="87">
      <x:c r="A87" s="143"/>
    </x:row>
    <x:row r="88">
      <x:c r="A88" s="143"/>
    </x:row>
    <x:row r="89">
      <x:c r="A89" s="143"/>
    </x:row>
    <x:row r="90">
      <x:c r="A90" s="143"/>
    </x:row>
    <x:row r="91">
      <x:c r="A91" s="143"/>
    </x:row>
    <x:row r="92">
      <x:c r="A92" s="143"/>
    </x:row>
    <x:row r="93">
      <x:c r="A93" s="143"/>
    </x:row>
    <x:row r="94">
      <x:c r="A94" s="143"/>
    </x:row>
    <x:row r="95">
      <x:c r="A95" s="143"/>
    </x:row>
    <x:row r="96">
      <x:c r="A96" s="143"/>
    </x:row>
    <x:row r="97">
      <x:c r="A97" s="143"/>
    </x:row>
    <x:row r="98">
      <x:c r="A98" s="143"/>
    </x:row>
    <x:row r="99">
      <x:c r="A99" s="143"/>
    </x:row>
    <x:row r="100">
      <x:c r="A100" s="143"/>
    </x:row>
    <x:row r="101">
      <x:c r="A101" s="143"/>
    </x:row>
    <x:row r="102">
      <x:c r="A102" s="143"/>
    </x:row>
    <x:row r="103">
      <x:c r="A103" s="143"/>
    </x:row>
    <x:row r="104">
      <x:c r="A104" s="143"/>
    </x:row>
    <x:row r="105">
      <x:c r="A105" s="143"/>
    </x:row>
    <x:row r="106">
      <x:c r="A106" s="143"/>
    </x:row>
    <x:row r="107">
      <x:c r="A107" s="143"/>
    </x:row>
    <x:row r="108">
      <x:c r="A108" s="143"/>
    </x:row>
    <x:row r="109">
      <x:c r="A109" s="143"/>
    </x:row>
    <x:row r="110">
      <x:c r="A110" s="143"/>
    </x:row>
    <x:row r="111">
      <x:c r="A111" s="143"/>
    </x:row>
    <x:row r="112">
      <x:c r="A112" s="143"/>
    </x:row>
    <x:row r="113">
      <x:c r="A113" s="143"/>
    </x:row>
    <x:row r="114">
      <x:c r="A114" s="143"/>
    </x:row>
    <x:row r="115">
      <x:c r="A115" s="143"/>
    </x:row>
    <x:row r="116">
      <x:c r="A116" s="143"/>
    </x:row>
    <x:row r="117">
      <x:c r="A117" s="143"/>
    </x:row>
    <x:row r="118">
      <x:c r="A118" s="143"/>
    </x:row>
    <x:row r="119">
      <x:c r="A119" s="143"/>
    </x:row>
    <x:row r="120">
      <x:c r="A120" s="143"/>
    </x:row>
    <x:row r="121">
      <x:c r="A121" s="143"/>
    </x:row>
    <x:row r="122">
      <x:c r="A122" s="143"/>
    </x:row>
    <x:row r="123">
      <x:c r="A123" s="143"/>
    </x:row>
    <x:row r="124">
      <x:c r="A124" s="143"/>
    </x:row>
    <x:row r="125">
      <x:c r="A125" s="143"/>
    </x:row>
    <x:row r="126">
      <x:c r="A126" s="143"/>
    </x:row>
    <x:row r="127">
      <x:c r="A127" s="143"/>
    </x:row>
    <x:row r="128">
      <x:c r="A128" s="143"/>
    </x:row>
    <x:row r="129">
      <x:c r="A129" s="143"/>
    </x:row>
    <x:row r="130">
      <x:c r="A130" s="143"/>
    </x:row>
    <x:row r="131">
      <x:c r="A131" s="143"/>
    </x:row>
    <x:row r="132">
      <x:c r="A132" s="143"/>
    </x:row>
    <x:row r="133">
      <x:c r="A133" s="143"/>
    </x:row>
    <x:row r="134">
      <x:c r="A134" s="143"/>
    </x:row>
    <x:row r="135">
      <x:c r="A135" s="143"/>
    </x:row>
    <x:row r="136">
      <x:c r="A136" s="143"/>
    </x:row>
    <x:row r="137">
      <x:c r="A137" s="143"/>
    </x:row>
    <x:row r="138">
      <x:c r="A138" s="143"/>
    </x:row>
    <x:row r="139">
      <x:c r="A139" s="143"/>
    </x:row>
    <x:row r="140">
      <x:c r="A140" s="143"/>
    </x:row>
    <x:row r="141">
      <x:c r="A141" s="143"/>
    </x:row>
    <x:row r="142">
      <x:c r="A142" s="143"/>
    </x:row>
    <x:row r="143">
      <x:c r="A143" s="143"/>
    </x:row>
    <x:row r="144">
      <x:c r="A144" s="143"/>
    </x:row>
    <x:row r="145">
      <x:c r="A145" s="143"/>
    </x:row>
    <x:row r="146">
      <x:c r="A146" s="143"/>
    </x:row>
    <x:row r="147">
      <x:c r="A147" s="143"/>
    </x:row>
    <x:row r="148">
      <x:c r="A148" s="143"/>
    </x:row>
    <x:row r="149">
      <x:c r="A149" s="143"/>
    </x:row>
    <x:row r="150">
      <x:c r="A150" s="143"/>
    </x:row>
    <x:row r="151">
      <x:c r="A151" s="143"/>
    </x:row>
    <x:row r="152">
      <x:c r="A152" s="143"/>
    </x:row>
    <x:row r="153">
      <x:c r="A153" s="143"/>
    </x:row>
    <x:row r="154">
      <x:c r="A154" s="143"/>
    </x:row>
    <x:row r="155">
      <x:c r="A155" s="143"/>
    </x:row>
    <x:row r="156">
      <x:c r="A156" s="143"/>
    </x:row>
    <x:row r="157">
      <x:c r="A157" s="143"/>
    </x:row>
    <x:row r="158">
      <x:c r="A158" s="143"/>
    </x:row>
    <x:row r="159">
      <x:c r="A159" s="143"/>
    </x:row>
    <x:row r="160">
      <x:c r="A160" s="143"/>
    </x:row>
    <x:row r="161">
      <x:c r="A161" s="143"/>
    </x:row>
    <x:row r="162">
      <x:c r="A162" s="143"/>
    </x:row>
    <x:row r="163">
      <x:c r="A163" s="143"/>
    </x:row>
    <x:row r="164">
      <x:c r="A164" s="143"/>
    </x:row>
    <x:row r="165">
      <x:c r="A165" s="143"/>
    </x:row>
    <x:row r="166">
      <x:c r="A166" s="143"/>
    </x:row>
    <x:row r="167">
      <x:c r="A167" s="143"/>
    </x:row>
    <x:row r="168">
      <x:c r="A168" s="143"/>
    </x:row>
    <x:row r="169">
      <x:c r="A169" s="143"/>
    </x:row>
    <x:row r="170">
      <x:c r="A170" s="143"/>
    </x:row>
    <x:row r="171">
      <x:c r="A171" s="143"/>
    </x:row>
    <x:row r="172">
      <x:c r="A172" s="143"/>
    </x:row>
    <x:row r="173">
      <x:c r="A173" s="143"/>
    </x:row>
    <x:row r="174">
      <x:c r="A174" s="143"/>
    </x:row>
    <x:row r="175">
      <x:c r="A175" s="143"/>
    </x:row>
    <x:row r="176">
      <x:c r="A176" s="143"/>
    </x:row>
    <x:row r="177">
      <x:c r="A177" s="143"/>
    </x:row>
    <x:row r="178">
      <x:c r="A178" s="143"/>
    </x:row>
    <x:row r="179">
      <x:c r="A179" s="143"/>
    </x:row>
    <x:row r="180">
      <x:c r="A180" s="143"/>
    </x:row>
    <x:row r="181">
      <x:c r="A181" s="143"/>
    </x:row>
    <x:row r="182">
      <x:c r="A182" s="143"/>
    </x:row>
    <x:row r="183">
      <x:c r="A183" s="143"/>
    </x:row>
    <x:row r="184">
      <x:c r="A184" s="143"/>
    </x:row>
    <x:row r="185">
      <x:c r="A185" s="143"/>
    </x:row>
    <x:row r="186">
      <x:c r="A186" s="143"/>
    </x:row>
    <x:row r="187">
      <x:c r="A187" s="143"/>
    </x:row>
    <x:row r="188">
      <x:c r="A188" s="143"/>
    </x:row>
    <x:row r="189">
      <x:c r="A189" s="143"/>
    </x:row>
    <x:row r="190">
      <x:c r="A190" s="143"/>
    </x:row>
    <x:row r="191">
      <x:c r="A191" s="143"/>
    </x:row>
    <x:row r="192">
      <x:c r="A192" s="143"/>
    </x:row>
    <x:row r="193">
      <x:c r="A193" s="143"/>
    </x:row>
    <x:row r="194">
      <x:c r="A194" s="143"/>
    </x:row>
    <x:row r="195">
      <x:c r="A195" s="143"/>
    </x:row>
    <x:row r="196">
      <x:c r="A196" s="143"/>
    </x:row>
    <x:row r="197">
      <x:c r="A197" s="143"/>
    </x:row>
    <x:row r="198">
      <x:c r="A198" s="143"/>
    </x:row>
    <x:row r="199">
      <x:c r="A199" s="143"/>
    </x:row>
    <x:row r="200">
      <x:c r="A200" s="143"/>
    </x:row>
    <x:row r="201">
      <x:c r="A201" s="143"/>
    </x:row>
    <x:row r="202">
      <x:c r="A202" s="143"/>
    </x:row>
    <x:row r="203">
      <x:c r="A203" s="143"/>
    </x:row>
    <x:row r="204">
      <x:c r="A204" s="143"/>
    </x:row>
    <x:row r="205">
      <x:c r="A205" s="143"/>
    </x:row>
    <x:row r="206">
      <x:c r="A206" s="143"/>
    </x:row>
    <x:row r="207">
      <x:c r="A207" s="143"/>
    </x:row>
    <x:row r="208">
      <x:c r="A208" s="143"/>
    </x:row>
    <x:row r="209">
      <x:c r="A209" s="143"/>
    </x:row>
    <x:row r="210">
      <x:c r="A210" s="143"/>
    </x:row>
    <x:row r="211">
      <x:c r="A211" s="143"/>
    </x:row>
    <x:row r="212">
      <x:c r="A212" s="143"/>
    </x:row>
    <x:row r="213">
      <x:c r="A213" s="143"/>
    </x:row>
    <x:row r="214">
      <x:c r="A214" s="143"/>
    </x:row>
    <x:row r="215">
      <x:c r="A215" s="143"/>
    </x:row>
    <x:row r="216">
      <x:c r="A216" s="143"/>
    </x:row>
    <x:row r="217">
      <x:c r="A217" s="143"/>
    </x:row>
    <x:row r="218">
      <x:c r="A218" s="143"/>
    </x:row>
    <x:row r="219">
      <x:c r="A219" s="143"/>
    </x:row>
    <x:row r="220">
      <x:c r="A220" s="143"/>
    </x:row>
    <x:row r="221">
      <x:c r="A221" s="143"/>
    </x:row>
    <x:row r="222">
      <x:c r="A222" s="143"/>
    </x:row>
    <x:row r="223">
      <x:c r="A223" s="143"/>
    </x:row>
    <x:row r="224">
      <x:c r="A224" s="143"/>
    </x:row>
    <x:row r="225">
      <x:c r="A225" s="143"/>
    </x:row>
    <x:row r="226">
      <x:c r="A226" s="143"/>
    </x:row>
    <x:row r="227">
      <x:c r="A227" s="143"/>
    </x:row>
    <x:row r="228">
      <x:c r="A228" s="143"/>
    </x:row>
    <x:row r="229">
      <x:c r="A229" s="143"/>
    </x:row>
    <x:row r="230">
      <x:c r="A230" s="143"/>
    </x:row>
    <x:row r="231">
      <x:c r="A231" s="143"/>
    </x:row>
    <x:row r="232">
      <x:c r="A232" s="143"/>
    </x:row>
    <x:row r="233">
      <x:c r="A233" s="143"/>
    </x:row>
    <x:row r="234">
      <x:c r="A234" s="143"/>
    </x:row>
    <x:row r="235">
      <x:c r="A235" s="143"/>
    </x:row>
    <x:row r="236">
      <x:c r="A236" s="143"/>
    </x:row>
    <x:row r="237">
      <x:c r="A237" s="143"/>
    </x:row>
    <x:row r="238">
      <x:c r="A238" s="143"/>
    </x:row>
    <x:row r="239">
      <x:c r="A239" s="143"/>
    </x:row>
    <x:row r="240">
      <x:c r="A240" s="143"/>
    </x:row>
    <x:row r="241">
      <x:c r="A241" s="143"/>
    </x:row>
    <x:row r="242">
      <x:c r="A242" s="143"/>
    </x:row>
    <x:row r="243">
      <x:c r="A243" s="143"/>
    </x:row>
    <x:row r="244">
      <x:c r="A244" s="143"/>
    </x:row>
    <x:row r="245">
      <x:c r="A245" s="143"/>
    </x:row>
    <x:row r="246">
      <x:c r="A246" s="143"/>
    </x:row>
    <x:row r="247">
      <x:c r="A247" s="143"/>
    </x:row>
    <x:row r="248">
      <x:c r="A248" s="143"/>
    </x:row>
    <x:row r="249">
      <x:c r="A249" s="143"/>
    </x:row>
    <x:row r="250">
      <x:c r="A250" s="143"/>
    </x:row>
    <x:row r="251">
      <x:c r="A251" s="143"/>
    </x:row>
    <x:row r="252">
      <x:c r="A252" s="143"/>
    </x:row>
    <x:row r="253">
      <x:c r="A253" s="143"/>
    </x:row>
    <x:row r="254">
      <x:c r="A254" s="143"/>
    </x:row>
    <x:row r="255">
      <x:c r="A255" s="143"/>
    </x:row>
    <x:row r="256">
      <x:c r="A256" s="143"/>
    </x:row>
    <x:row r="257">
      <x:c r="A257" s="143"/>
    </x:row>
    <x:row r="258">
      <x:c r="A258" s="143"/>
    </x:row>
    <x:row r="259">
      <x:c r="A259" s="143"/>
    </x:row>
    <x:row r="260">
      <x:c r="A260" s="143"/>
    </x:row>
    <x:row r="261">
      <x:c r="A261" s="143"/>
    </x:row>
    <x:row r="262">
      <x:c r="A262" s="143"/>
    </x:row>
    <x:row r="263">
      <x:c r="A263" s="143"/>
    </x:row>
    <x:row r="264">
      <x:c r="A264" s="143"/>
    </x:row>
    <x:row r="265">
      <x:c r="A265" s="143"/>
    </x:row>
    <x:row r="266">
      <x:c r="A266" s="143"/>
    </x:row>
    <x:row r="267">
      <x:c r="A267" s="143"/>
    </x:row>
    <x:row r="268">
      <x:c r="A268" s="143"/>
    </x:row>
    <x:row r="269">
      <x:c r="A269" s="143"/>
    </x:row>
    <x:row r="270">
      <x:c r="A270" s="143"/>
    </x:row>
    <x:row r="271">
      <x:c r="A271" s="143"/>
    </x:row>
    <x:row r="272">
      <x:c r="A272" s="143"/>
    </x:row>
    <x:row r="273">
      <x:c r="A273" s="143"/>
    </x:row>
    <x:row r="274">
      <x:c r="A274" s="143"/>
    </x:row>
    <x:row r="275">
      <x:c r="A275" s="143"/>
    </x:row>
    <x:row r="276">
      <x:c r="A276" s="143"/>
    </x:row>
    <x:row r="277">
      <x:c r="A277" s="143"/>
    </x:row>
    <x:row r="278">
      <x:c r="A278" s="143"/>
    </x:row>
    <x:row r="279">
      <x:c r="A279" s="143"/>
    </x:row>
    <x:row r="280">
      <x:c r="A280" s="143"/>
    </x:row>
    <x:row r="281">
      <x:c r="A281" s="143"/>
    </x:row>
    <x:row r="282">
      <x:c r="A282" s="143"/>
    </x:row>
    <x:row r="283">
      <x:c r="A283" s="143"/>
    </x:row>
    <x:row r="284">
      <x:c r="A284" s="143"/>
    </x:row>
    <x:row r="285">
      <x:c r="A285" s="143"/>
    </x:row>
    <x:row r="286">
      <x:c r="A286" s="143"/>
    </x:row>
    <x:row r="287">
      <x:c r="A287" s="143"/>
    </x:row>
    <x:row r="288">
      <x:c r="A288" s="143"/>
    </x:row>
    <x:row r="289">
      <x:c r="A289" s="143"/>
    </x:row>
    <x:row r="290">
      <x:c r="A290" s="143"/>
    </x:row>
    <x:row r="291">
      <x:c r="A291" s="143"/>
    </x:row>
    <x:row r="292">
      <x:c r="A292" s="143"/>
    </x:row>
    <x:row r="293">
      <x:c r="A293" s="143"/>
    </x:row>
    <x:row r="294">
      <x:c r="A294" s="143"/>
    </x:row>
    <x:row r="295">
      <x:c r="A295" s="143"/>
    </x:row>
    <x:row r="296">
      <x:c r="A296" s="143"/>
    </x:row>
    <x:row r="297">
      <x:c r="A297" s="143"/>
    </x:row>
    <x:row r="298">
      <x:c r="A298" s="143"/>
    </x:row>
    <x:row r="299">
      <x:c r="A299" s="143"/>
    </x:row>
    <x:row r="300">
      <x:c r="A300" s="143"/>
    </x:row>
    <x:row r="301">
      <x:c r="A301" s="143"/>
    </x:row>
    <x:row r="302">
      <x:c r="A302" s="143"/>
    </x:row>
    <x:row r="303">
      <x:c r="A303" s="143"/>
    </x:row>
    <x:row r="304">
      <x:c r="A304" s="143"/>
    </x:row>
    <x:row r="305">
      <x:c r="A305" s="143"/>
    </x:row>
    <x:row r="306">
      <x:c r="A306" s="143"/>
    </x:row>
    <x:row r="307">
      <x:c r="A307" s="143"/>
    </x:row>
    <x:row r="308">
      <x:c r="A308" s="143"/>
    </x:row>
    <x:row r="309">
      <x:c r="A309" s="143"/>
    </x:row>
    <x:row r="310">
      <x:c r="A310" s="143"/>
    </x:row>
    <x:row r="311">
      <x:c r="A311" s="143"/>
    </x:row>
    <x:row r="312">
      <x:c r="A312" s="143"/>
    </x:row>
    <x:row r="313">
      <x:c r="A313" s="143"/>
    </x:row>
    <x:row r="314">
      <x:c r="A314" s="143"/>
    </x:row>
    <x:row r="315">
      <x:c r="A315" s="143"/>
    </x:row>
    <x:row r="316">
      <x:c r="A316" s="143"/>
    </x:row>
    <x:row r="317">
      <x:c r="A317" s="143"/>
    </x:row>
    <x:row r="318">
      <x:c r="A318" s="143"/>
    </x:row>
    <x:row r="319">
      <x:c r="A319" s="143"/>
    </x:row>
    <x:row r="320">
      <x:c r="A320" s="143"/>
    </x:row>
    <x:row r="321">
      <x:c r="A321" s="143"/>
    </x:row>
    <x:row r="322">
      <x:c r="A322" s="143"/>
    </x:row>
    <x:row r="323">
      <x:c r="A323" s="143"/>
    </x:row>
    <x:row r="324">
      <x:c r="A324" s="143"/>
    </x:row>
    <x:row r="325">
      <x:c r="A325" s="143"/>
    </x:row>
    <x:row r="326">
      <x:c r="A326" s="143"/>
    </x:row>
    <x:row r="327">
      <x:c r="A327" s="143"/>
    </x:row>
    <x:row r="328">
      <x:c r="A328" s="143"/>
    </x:row>
    <x:row r="329">
      <x:c r="A329" s="143"/>
    </x:row>
    <x:row r="330">
      <x:c r="A330" s="143"/>
    </x:row>
    <x:row r="331">
      <x:c r="A331" s="143"/>
    </x:row>
    <x:row r="332">
      <x:c r="A332" s="143"/>
    </x:row>
    <x:row r="333">
      <x:c r="A333" s="143"/>
    </x:row>
    <x:row r="334">
      <x:c r="A334" s="143"/>
    </x:row>
    <x:row r="335">
      <x:c r="A335" s="143"/>
    </x:row>
    <x:row r="336">
      <x:c r="A336" s="143"/>
    </x:row>
    <x:row r="337">
      <x:c r="A337" s="143"/>
    </x:row>
    <x:row r="338">
      <x:c r="A338" s="143"/>
    </x:row>
    <x:row r="339">
      <x:c r="A339" s="143"/>
    </x:row>
    <x:row r="340">
      <x:c r="A340" s="143"/>
    </x:row>
    <x:row r="341">
      <x:c r="A341" s="143"/>
    </x:row>
    <x:row r="342">
      <x:c r="A342" s="143"/>
    </x:row>
    <x:row r="343">
      <x:c r="A343" s="143"/>
    </x:row>
    <x:row r="344">
      <x:c r="A344" s="143"/>
    </x:row>
    <x:row r="345">
      <x:c r="A345" s="143"/>
    </x:row>
    <x:row r="346">
      <x:c r="A346" s="143"/>
    </x:row>
    <x:row r="347">
      <x:c r="A347" s="143"/>
    </x:row>
    <x:row r="348">
      <x:c r="A348" s="143"/>
    </x:row>
    <x:row r="349">
      <x:c r="A349" s="143"/>
    </x:row>
    <x:row r="350">
      <x:c r="A350" s="143"/>
    </x:row>
    <x:row r="351">
      <x:c r="A351" s="143"/>
    </x:row>
    <x:row r="352">
      <x:c r="A352" s="143"/>
    </x:row>
    <x:row r="353">
      <x:c r="A353" s="143"/>
    </x:row>
    <x:row r="354">
      <x:c r="A354" s="143"/>
    </x:row>
    <x:row r="355">
      <x:c r="A355" s="143"/>
    </x:row>
    <x:row r="356">
      <x:c r="A356" s="143"/>
    </x:row>
    <x:row r="357">
      <x:c r="A357" s="143"/>
    </x:row>
    <x:row r="358">
      <x:c r="A358" s="143"/>
    </x:row>
    <x:row r="359">
      <x:c r="A359" s="143"/>
    </x:row>
    <x:row r="360">
      <x:c r="A360" s="143"/>
    </x:row>
    <x:row r="361">
      <x:c r="A361" s="143"/>
    </x:row>
    <x:row r="362">
      <x:c r="A362" s="143"/>
    </x:row>
    <x:row r="363">
      <x:c r="A363" s="143"/>
    </x:row>
    <x:row r="364">
      <x:c r="A364" s="143"/>
    </x:row>
    <x:row r="365">
      <x:c r="A365" s="143"/>
    </x:row>
    <x:row r="366">
      <x:c r="A366" s="143"/>
    </x:row>
    <x:row r="367">
      <x:c r="A367" s="143"/>
    </x:row>
    <x:row r="368">
      <x:c r="A368" s="143"/>
    </x:row>
    <x:row r="369">
      <x:c r="A369" s="143"/>
    </x:row>
    <x:row r="370">
      <x:c r="A370" s="143"/>
    </x:row>
    <x:row r="371">
      <x:c r="A371" s="143"/>
    </x:row>
    <x:row r="372">
      <x:c r="A372" s="143"/>
    </x:row>
    <x:row r="373">
      <x:c r="A373" s="143"/>
    </x:row>
    <x:row r="374">
      <x:c r="A374" s="143"/>
    </x:row>
    <x:row r="375">
      <x:c r="A375" s="143"/>
    </x:row>
    <x:row r="376">
      <x:c r="A376" s="143"/>
    </x:row>
    <x:row r="377">
      <x:c r="A377" s="143"/>
    </x:row>
    <x:row r="378">
      <x:c r="A378" s="143"/>
    </x:row>
    <x:row r="379">
      <x:c r="A379" s="143"/>
    </x:row>
    <x:row r="380">
      <x:c r="A380" s="143"/>
    </x:row>
    <x:row r="381">
      <x:c r="A381" s="143"/>
    </x:row>
    <x:row r="382">
      <x:c r="A382" s="143"/>
    </x:row>
    <x:row r="383">
      <x:c r="A383" s="143"/>
    </x:row>
    <x:row r="384">
      <x:c r="A384" s="143"/>
    </x:row>
    <x:row r="385">
      <x:c r="A385" s="143"/>
    </x:row>
    <x:row r="386">
      <x:c r="A386" s="143"/>
    </x:row>
    <x:row r="387">
      <x:c r="A387" s="143"/>
    </x:row>
    <x:row r="388">
      <x:c r="A388" s="143"/>
    </x:row>
    <x:row r="389">
      <x:c r="A389" s="143"/>
    </x:row>
    <x:row r="390">
      <x:c r="A390" s="143"/>
    </x:row>
    <x:row r="391">
      <x:c r="A391" s="143"/>
    </x:row>
    <x:row r="392">
      <x:c r="A392" s="143"/>
    </x:row>
    <x:row r="393">
      <x:c r="A393" s="143"/>
    </x:row>
    <x:row r="394">
      <x:c r="A394" s="143"/>
    </x:row>
    <x:row r="395">
      <x:c r="A395" s="143"/>
    </x:row>
    <x:row r="396">
      <x:c r="A396" s="143"/>
    </x:row>
    <x:row r="397">
      <x:c r="A397" s="143"/>
    </x:row>
    <x:row r="398">
      <x:c r="A398" s="143"/>
    </x:row>
    <x:row r="399">
      <x:c r="A399" s="143"/>
    </x:row>
    <x:row r="400">
      <x:c r="A400" s="143"/>
    </x:row>
    <x:row r="401">
      <x:c r="A401" s="143"/>
    </x:row>
    <x:row r="402">
      <x:c r="A402" s="143"/>
    </x:row>
    <x:row r="403">
      <x:c r="A403" s="143"/>
    </x:row>
    <x:row r="404">
      <x:c r="A404" s="143"/>
    </x:row>
    <x:row r="405">
      <x:c r="A405" s="143"/>
    </x:row>
    <x:row r="406">
      <x:c r="A406" s="143"/>
    </x:row>
    <x:row r="407">
      <x:c r="A407" s="143"/>
    </x:row>
    <x:row r="408">
      <x:c r="A408" s="143"/>
    </x:row>
    <x:row r="409">
      <x:c r="A409" s="143"/>
    </x:row>
    <x:row r="410">
      <x:c r="A410" s="143"/>
    </x:row>
    <x:row r="411">
      <x:c r="A411" s="143"/>
    </x:row>
    <x:row r="412">
      <x:c r="A412" s="143"/>
    </x:row>
    <x:row r="413">
      <x:c r="A413" s="143"/>
    </x:row>
    <x:row r="414">
      <x:c r="A414" s="143"/>
    </x:row>
    <x:row r="415">
      <x:c r="A415" s="143"/>
    </x:row>
    <x:row r="416">
      <x:c r="A416" s="143"/>
    </x:row>
    <x:row r="417">
      <x:c r="A417" s="143"/>
    </x:row>
    <x:row r="418">
      <x:c r="A418" s="143"/>
    </x:row>
    <x:row r="419">
      <x:c r="A419" s="143"/>
    </x:row>
    <x:row r="420">
      <x:c r="A420" s="143"/>
    </x:row>
    <x:row r="421">
      <x:c r="A421" s="143"/>
    </x:row>
    <x:row r="422">
      <x:c r="A422" s="143"/>
    </x:row>
    <x:row r="423">
      <x:c r="A423" s="143"/>
    </x:row>
    <x:row r="424">
      <x:c r="A424" s="143"/>
    </x:row>
    <x:row r="425">
      <x:c r="A425" s="143"/>
    </x:row>
    <x:row r="426">
      <x:c r="A426" s="143"/>
    </x:row>
    <x:row r="427">
      <x:c r="A427" s="143"/>
    </x:row>
    <x:row r="428">
      <x:c r="A428" s="143"/>
    </x:row>
    <x:row r="429">
      <x:c r="A429" s="143"/>
    </x:row>
    <x:row r="430">
      <x:c r="A430" s="143"/>
    </x:row>
    <x:row r="431">
      <x:c r="A431" s="143"/>
    </x:row>
    <x:row r="432">
      <x:c r="A432" s="143"/>
    </x:row>
    <x:row r="433">
      <x:c r="A433" s="143"/>
    </x:row>
    <x:row r="434">
      <x:c r="A434" s="143"/>
    </x:row>
    <x:row r="435">
      <x:c r="A435" s="143"/>
    </x:row>
    <x:row r="436">
      <x:c r="A436" s="143"/>
    </x:row>
    <x:row r="437">
      <x:c r="A437" s="143"/>
    </x:row>
    <x:row r="438">
      <x:c r="A438" s="143"/>
    </x:row>
    <x:row r="439">
      <x:c r="A439" s="143"/>
    </x:row>
    <x:row r="440">
      <x:c r="A440" s="143"/>
    </x:row>
    <x:row r="441">
      <x:c r="A441" s="143"/>
    </x:row>
    <x:row r="442">
      <x:c r="A442" s="143"/>
    </x:row>
    <x:row r="443">
      <x:c r="A443" s="143"/>
    </x:row>
    <x:row r="444">
      <x:c r="A444" s="143"/>
    </x:row>
    <x:row r="445">
      <x:c r="A445" s="143"/>
    </x:row>
    <x:row r="446">
      <x:c r="A446" s="143"/>
    </x:row>
    <x:row r="447">
      <x:c r="A447" s="143"/>
    </x:row>
    <x:row r="448">
      <x:c r="A448" s="143"/>
    </x:row>
    <x:row r="449">
      <x:c r="A449" s="143"/>
    </x:row>
    <x:row r="450">
      <x:c r="A450" s="143"/>
    </x:row>
    <x:row r="451">
      <x:c r="A451" s="143"/>
    </x:row>
    <x:row r="452">
      <x:c r="A452" s="143"/>
    </x:row>
    <x:row r="453">
      <x:c r="A453" s="143"/>
    </x:row>
    <x:row r="454">
      <x:c r="A454" s="143"/>
    </x:row>
    <x:row r="455">
      <x:c r="A455" s="143"/>
    </x:row>
    <x:row r="456">
      <x:c r="A456" s="143"/>
    </x:row>
    <x:row r="457">
      <x:c r="A457" s="143"/>
    </x:row>
    <x:row r="458">
      <x:c r="A458" s="143"/>
    </x:row>
    <x:row r="459">
      <x:c r="A459" s="143"/>
    </x:row>
    <x:row r="460">
      <x:c r="A460" s="143"/>
    </x:row>
    <x:row r="461">
      <x:c r="A461" s="143"/>
    </x:row>
    <x:row r="462">
      <x:c r="A462" s="143"/>
    </x:row>
    <x:row r="463">
      <x:c r="A463" s="143"/>
    </x:row>
    <x:row r="464">
      <x:c r="A464" s="143"/>
    </x:row>
    <x:row r="465">
      <x:c r="A465" s="143"/>
    </x:row>
    <x:row r="466">
      <x:c r="A466" s="143"/>
    </x:row>
    <x:row r="467">
      <x:c r="A467" s="143"/>
    </x:row>
    <x:row r="468">
      <x:c r="A468" s="143"/>
    </x:row>
    <x:row r="469">
      <x:c r="A469" s="143"/>
    </x:row>
    <x:row r="470">
      <x:c r="A470" s="143"/>
    </x:row>
    <x:row r="471">
      <x:c r="A471" s="143"/>
    </x:row>
    <x:row r="472">
      <x:c r="A472" s="143"/>
    </x:row>
    <x:row r="473">
      <x:c r="A473" s="143"/>
    </x:row>
    <x:row r="474">
      <x:c r="A474" s="143"/>
    </x:row>
    <x:row r="475">
      <x:c r="A475" s="143"/>
    </x:row>
    <x:row r="476">
      <x:c r="A476" s="143"/>
    </x:row>
    <x:row r="477">
      <x:c r="A477" s="143"/>
    </x:row>
    <x:row r="478">
      <x:c r="A478" s="143"/>
    </x:row>
    <x:row r="479">
      <x:c r="A479" s="143"/>
    </x:row>
    <x:row r="480">
      <x:c r="A480" s="143"/>
    </x:row>
    <x:row r="481">
      <x:c r="A481" s="143"/>
    </x:row>
    <x:row r="482">
      <x:c r="A482" s="143"/>
    </x:row>
    <x:row r="483">
      <x:c r="A483" s="143"/>
    </x:row>
    <x:row r="484">
      <x:c r="A484" s="143"/>
    </x:row>
    <x:row r="485">
      <x:c r="A485" s="143"/>
    </x:row>
    <x:row r="486">
      <x:c r="A486" s="143"/>
    </x:row>
    <x:row r="487">
      <x:c r="A487" s="143"/>
    </x:row>
    <x:row r="488">
      <x:c r="A488" s="143"/>
    </x:row>
    <x:row r="489">
      <x:c r="A489" s="143"/>
    </x:row>
    <x:row r="490">
      <x:c r="A490" s="143"/>
    </x:row>
    <x:row r="491">
      <x:c r="A491" s="143"/>
    </x:row>
    <x:row r="492">
      <x:c r="A492" s="143"/>
    </x:row>
    <x:row r="493">
      <x:c r="A493" s="143"/>
    </x:row>
    <x:row r="494">
      <x:c r="A494" s="143"/>
    </x:row>
    <x:row r="495">
      <x:c r="A495" s="143"/>
    </x:row>
    <x:row r="496">
      <x:c r="A496" s="143"/>
    </x:row>
    <x:row r="497">
      <x:c r="A497" s="143"/>
    </x:row>
    <x:row r="498">
      <x:c r="A498" s="143"/>
    </x:row>
    <x:row r="499">
      <x:c r="A499" s="143"/>
    </x:row>
    <x:row r="500">
      <x:c r="A500" s="143"/>
    </x:row>
  </x:sheetData>
  <x:mergeCells>
    <x:mergeCell ref="A1:D1"/>
  </x:mergeCells>
  <x:pageMargins left="0.7" right="0.7" top="0.75" bottom="0.75" header="0.3" footer="0.3"/>
</x:worksheet>
</file>